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lete the Words" sheetId="2" state="visible" r:id="rId2"/>
    <sheet name="Cloze Paragraphs" sheetId="3" state="visible" r:id="rId3"/>
    <sheet name="Read in Daily Life" sheetId="4" state="visible" r:id="rId4"/>
    <sheet name="Read an Academic Passage" sheetId="5" state="visible" r:id="rId5"/>
    <sheet name="Passages" sheetId="6" state="visible" r:id="rId6"/>
  </sheets>
  <definedNames>
    <definedName name="_xlnm._FilterDatabase" localSheetId="1" hidden="1">'Complete the Words'!$A$1:$F$101</definedName>
    <definedName name="_xlnm._FilterDatabase" localSheetId="3" hidden="1">'Read in Daily Life'!$A$1:$M$35</definedName>
    <definedName name="_xlnm._FilterDatabase" localSheetId="4" hidden="1">'Read an Academic Passage'!$A$1:$M$26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B2B"/>
      <sz val="16"/>
    </font>
    <font>
      <name val="Arial"/>
      <color rgb="0047596A"/>
      <sz val="10"/>
    </font>
    <font>
      <name val="Arial"/>
      <b val="1"/>
      <color rgb="00FFFFFF"/>
      <sz val="10"/>
    </font>
    <font>
      <name val="Arial"/>
      <b val="1"/>
      <color rgb="0014202B"/>
      <sz val="10"/>
    </font>
    <font>
      <name val="Arial"/>
      <color rgb="0014202B"/>
      <sz val="10"/>
    </font>
    <font>
      <name val="Arial"/>
      <b val="1"/>
      <color rgb="000B1B2B"/>
      <sz val="12"/>
    </font>
    <font>
      <name val="Consolas"/>
      <color rgb="0014202B"/>
      <sz val="10"/>
    </font>
    <font>
      <name val="Arial"/>
      <b val="1"/>
      <color rgb="001C7A5B"/>
      <sz val="10"/>
    </font>
    <font>
      <name val="Arial"/>
      <color rgb="001C7A5B"/>
      <sz val="10"/>
    </font>
  </fonts>
  <fills count="5">
    <fill>
      <patternFill/>
    </fill>
    <fill>
      <patternFill patternType="gray125"/>
    </fill>
    <fill>
      <patternFill patternType="solid">
        <fgColor rgb="0017395A"/>
      </patternFill>
    </fill>
    <fill>
      <patternFill patternType="solid">
        <fgColor rgb="00FDF0D8"/>
      </patternFill>
    </fill>
    <fill>
      <patternFill patternType="solid">
        <fgColor rgb="00EDF2F6"/>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vertical="top" wrapText="1"/>
    </xf>
    <xf numFmtId="0" fontId="4" fillId="3" borderId="1" pivotButton="0" quotePrefix="0" xfId="0"/>
    <xf numFmtId="0" fontId="4" fillId="3" borderId="1" applyAlignment="1" pivotButton="0" quotePrefix="0" xfId="0">
      <alignment horizontal="center" vertical="center"/>
    </xf>
    <xf numFmtId="0" fontId="0" fillId="3" borderId="1" pivotButton="0" quotePrefix="0" xfId="0"/>
    <xf numFmtId="0" fontId="6" fillId="0" borderId="0" pivotButton="0" quotePrefix="0" xfId="0"/>
    <xf numFmtId="0" fontId="2" fillId="0" borderId="0" applyAlignment="1" pivotButton="0" quotePrefix="0" xfId="0">
      <alignment vertical="top" wrapText="1"/>
    </xf>
    <xf numFmtId="0" fontId="5" fillId="0" borderId="1" applyAlignment="1" pivotButton="0" quotePrefix="0" xfId="0">
      <alignment horizontal="left" vertical="top"/>
    </xf>
    <xf numFmtId="0" fontId="7" fillId="0" borderId="1" applyAlignment="1" pivotButton="0" quotePrefix="0" xfId="0">
      <alignment horizontal="left" vertical="top"/>
    </xf>
    <xf numFmtId="0" fontId="8" fillId="0" borderId="1" applyAlignment="1" pivotButton="0" quotePrefix="0" xfId="0">
      <alignment horizontal="left" vertical="top"/>
    </xf>
    <xf numFmtId="0" fontId="5" fillId="4" borderId="1" applyAlignment="1" pivotButton="0" quotePrefix="0" xfId="0">
      <alignment horizontal="center" vertical="center"/>
    </xf>
    <xf numFmtId="0" fontId="5" fillId="4" borderId="1" applyAlignment="1" pivotButton="0" quotePrefix="0" xfId="0">
      <alignment horizontal="left" vertical="top"/>
    </xf>
    <xf numFmtId="0" fontId="7" fillId="4" borderId="1" applyAlignment="1" pivotButton="0" quotePrefix="0" xfId="0">
      <alignment horizontal="left" vertical="top"/>
    </xf>
    <xf numFmtId="0" fontId="8" fillId="4" borderId="1" applyAlignment="1" pivotButton="0" quotePrefix="0" xfId="0">
      <alignment horizontal="left" vertical="top"/>
    </xf>
    <xf numFmtId="0" fontId="4" fillId="0" borderId="1" applyAlignment="1" pivotButton="0" quotePrefix="0" xfId="0">
      <alignment vertical="top" wrapText="1"/>
    </xf>
    <xf numFmtId="0" fontId="8" fillId="0" borderId="1" applyAlignment="1" pivotButton="0" quotePrefix="0" xfId="0">
      <alignment horizontal="center" vertical="center"/>
    </xf>
    <xf numFmtId="0" fontId="9" fillId="0" borderId="1" applyAlignment="1" pivotButton="0" quotePrefix="0" xfId="0">
      <alignment vertical="top" wrapText="1"/>
    </xf>
    <xf numFmtId="0" fontId="5" fillId="4" borderId="1" applyAlignment="1" pivotButton="0" quotePrefix="0" xfId="0">
      <alignment vertical="top" wrapText="1"/>
    </xf>
    <xf numFmtId="0" fontId="8" fillId="4" borderId="1" applyAlignment="1" pivotButton="0" quotePrefix="0" xfId="0">
      <alignment horizontal="center" vertical="center"/>
    </xf>
    <xf numFmtId="0" fontId="9" fillId="4" borderId="1" applyAlignment="1" pivotButton="0" quotePrefix="0" xfId="0">
      <alignment vertical="top" wrapText="1"/>
    </xf>
    <xf numFmtId="0" fontId="7"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E25"/>
  <sheetViews>
    <sheetView showGridLines="0" workbookViewId="0">
      <pane ySplit="5" topLeftCell="A6" activePane="bottomLeft" state="frozen"/>
      <selection pane="bottomLeft" activeCell="A1" sqref="A1"/>
    </sheetView>
  </sheetViews>
  <sheetFormatPr baseColWidth="8" defaultRowHeight="15"/>
  <cols>
    <col width="3" customWidth="1" min="1" max="1"/>
    <col width="34" customWidth="1" min="2" max="2"/>
    <col width="14" customWidth="1" min="3" max="3"/>
    <col width="14" customWidth="1" min="4" max="4"/>
    <col width="60" customWidth="1" min="5" max="5"/>
  </cols>
  <sheetData>
    <row r="2">
      <c r="B2" s="1" t="inlineStr">
        <is>
          <t>TOEFL® Reading — Practice Question Bank</t>
        </is>
      </c>
    </row>
    <row r="3">
      <c r="B3" s="2" t="inlineStr">
        <is>
          <t>159 questions across the three passage types of the TOEFL iBT Reading section.</t>
        </is>
      </c>
    </row>
    <row r="5" ht="28" customHeight="1">
      <c r="A5" s="3" t="n"/>
      <c r="B5" s="3" t="inlineStr">
        <is>
          <t>Section</t>
        </is>
      </c>
      <c r="C5" s="3" t="inlineStr">
        <is>
          <t>Sets</t>
        </is>
      </c>
      <c r="D5" s="3" t="inlineStr">
        <is>
          <t>Questions</t>
        </is>
      </c>
      <c r="E5" s="3" t="inlineStr">
        <is>
          <t>What it tests</t>
        </is>
      </c>
    </row>
    <row r="6" ht="30" customHeight="1">
      <c r="B6" s="4" t="inlineStr">
        <is>
          <t>Complete the Words</t>
        </is>
      </c>
      <c r="C6" s="5">
        <f>SUMPRODUCT(1/COUNTIF('Complete the Words'!B2:B101,'Complete the Words'!B2:B101))</f>
        <v/>
      </c>
      <c r="D6" s="5">
        <f>COUNT('Complete the Words'!A2:A101)</f>
        <v/>
      </c>
      <c r="E6" s="6" t="inlineStr">
        <is>
          <t>Ten short paragraphs with letters removed; type the missing letters.</t>
        </is>
      </c>
    </row>
    <row r="7" ht="30" customHeight="1">
      <c r="B7" s="4" t="inlineStr">
        <is>
          <t>Read in Daily Life</t>
        </is>
      </c>
      <c r="C7" s="5">
        <f>SUMPRODUCT(1/COUNTIF('Read in Daily Life'!B2:B35,'Read in Daily Life'!B2:B35))</f>
        <v/>
      </c>
      <c r="D7" s="5">
        <f>COUNT('Read in Daily Life'!A2:A35)</f>
        <v/>
      </c>
      <c r="E7" s="6" t="inlineStr">
        <is>
          <t>Emails, announcements, and text chains. Purpose, detail, and inference.</t>
        </is>
      </c>
    </row>
    <row r="8" ht="30" customHeight="1">
      <c r="B8" s="4" t="inlineStr">
        <is>
          <t>Read an Academic Passage</t>
        </is>
      </c>
      <c r="C8" s="5">
        <f>SUMPRODUCT(1/COUNTIF('Read an Academic Passage'!B2:B26,'Read an Academic Passage'!B2:B26))</f>
        <v/>
      </c>
      <c r="D8" s="5">
        <f>COUNT('Read an Academic Passage'!A2:A26)</f>
        <v/>
      </c>
      <c r="E8" s="6" t="inlineStr">
        <is>
          <t>Three-paragraph passages: vocabulary, purpose, insert text, sentence select.</t>
        </is>
      </c>
    </row>
    <row r="9">
      <c r="B9" s="7" t="inlineStr">
        <is>
          <t>Total</t>
        </is>
      </c>
      <c r="C9" s="8">
        <f>SUM(C6:C8)</f>
        <v/>
      </c>
      <c r="D9" s="8">
        <f>SUM(D6:D8)</f>
        <v/>
      </c>
      <c r="E9" s="9" t="n"/>
    </row>
    <row r="12">
      <c r="B12" s="10" t="inlineStr">
        <is>
          <t>Full tests</t>
        </is>
      </c>
    </row>
    <row r="13">
      <c r="B13" s="2" t="inlineStr">
        <is>
          <t>Each pairs one passage of every type under a single clock — the shape of the real section.</t>
        </is>
      </c>
    </row>
    <row r="15" ht="28" customHeight="1">
      <c r="A15" s="3" t="n"/>
      <c r="B15" s="3" t="inlineStr">
        <is>
          <t>Test</t>
        </is>
      </c>
      <c r="C15" s="3" t="inlineStr">
        <is>
          <t>Minutes</t>
        </is>
      </c>
      <c r="D15" s="3" t="inlineStr">
        <is>
          <t>Questions</t>
        </is>
      </c>
      <c r="E15" s="3" t="inlineStr">
        <is>
          <t>Passages</t>
        </is>
      </c>
    </row>
    <row r="16">
      <c r="B16" s="4" t="inlineStr">
        <is>
          <t>Full test 1</t>
        </is>
      </c>
      <c r="C16" s="5" t="n">
        <v>18</v>
      </c>
      <c r="D16" s="5" t="n">
        <v>17</v>
      </c>
      <c r="E16" s="6" t="inlineStr">
        <is>
          <t>Rainforests · Textbook collection · The Evolution of Money</t>
        </is>
      </c>
    </row>
    <row r="17">
      <c r="B17" s="4" t="inlineStr">
        <is>
          <t>Full test 2</t>
        </is>
      </c>
      <c r="C17" s="5" t="n">
        <v>18</v>
      </c>
      <c r="D17" s="5" t="n">
        <v>18</v>
      </c>
      <c r="E17" s="6" t="inlineStr">
        <is>
          <t>How sound travels · Open-house volunteers · The Hidden Life of Soil</t>
        </is>
      </c>
    </row>
    <row r="18">
      <c r="B18" s="4" t="inlineStr">
        <is>
          <t>Full test 3</t>
        </is>
      </c>
      <c r="C18" s="5" t="n">
        <v>18</v>
      </c>
      <c r="D18" s="5" t="n">
        <v>18</v>
      </c>
      <c r="E18" s="6" t="inlineStr">
        <is>
          <t>Privacy online · Academic mentorship · Facial Recognition</t>
        </is>
      </c>
    </row>
    <row r="19">
      <c r="B19" s="4" t="inlineStr">
        <is>
          <t>Full test 4</t>
        </is>
      </c>
      <c r="C19" s="5" t="n">
        <v>18</v>
      </c>
      <c r="D19" s="5" t="n">
        <v>18</v>
      </c>
      <c r="E19" s="6" t="inlineStr">
        <is>
          <t>The sense of smell · Water service · The Pull of Nostalgia</t>
        </is>
      </c>
    </row>
    <row r="20">
      <c r="B20" s="4" t="inlineStr">
        <is>
          <t>Full test 5</t>
        </is>
      </c>
      <c r="C20" s="5" t="n">
        <v>18</v>
      </c>
      <c r="D20" s="5" t="n">
        <v>18</v>
      </c>
      <c r="E20" s="6" t="inlineStr">
        <is>
          <t>How we decide · Oakridge pool · The Rise of the Telegraph</t>
        </is>
      </c>
    </row>
    <row r="23">
      <c r="B23" s="11" t="inlineStr">
        <is>
          <t>Source: 100 Practice Questions for the TOEFL® Reading Section (TST Prep, 2026 edition). Question numbers match that book. TOEFL® is a registered trademark of Educational Testing Service (ETS); this material is not endorsed or approved by ETS.</t>
        </is>
      </c>
    </row>
    <row r="24"/>
    <row r="25"/>
  </sheetData>
  <mergeCells count="1">
    <mergeCell ref="B23:E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showGridLines="0" workbookViewId="0">
      <pane ySplit="1" topLeftCell="A2" activePane="bottomLeft" state="frozen"/>
      <selection pane="bottomLeft" activeCell="A1" sqref="A1"/>
    </sheetView>
  </sheetViews>
  <sheetFormatPr baseColWidth="8" defaultRowHeight="15"/>
  <cols>
    <col width="6" customWidth="1" min="1" max="1"/>
    <col width="8" customWidth="1" min="2" max="2"/>
    <col width="26" customWidth="1" min="3" max="3"/>
    <col width="14" customWidth="1" min="4" max="4"/>
    <col width="18" customWidth="1" min="5" max="5"/>
    <col width="20" customWidth="1" min="6" max="6"/>
  </cols>
  <sheetData>
    <row r="1" ht="28" customHeight="1">
      <c r="A1" s="3" t="inlineStr">
        <is>
          <t>#</t>
        </is>
      </c>
      <c r="B1" s="3" t="inlineStr">
        <is>
          <t>Set</t>
        </is>
      </c>
      <c r="C1" s="3" t="inlineStr">
        <is>
          <t>Paragraph</t>
        </is>
      </c>
      <c r="D1" s="3" t="inlineStr">
        <is>
          <t>Stem shown</t>
        </is>
      </c>
      <c r="E1" s="3" t="inlineStr">
        <is>
          <t>Missing letters</t>
        </is>
      </c>
      <c r="F1" s="3" t="inlineStr">
        <is>
          <t>Complete word</t>
        </is>
      </c>
    </row>
    <row r="2">
      <c r="A2" s="5" t="n">
        <v>1</v>
      </c>
      <c r="B2" s="5" t="n">
        <v>1</v>
      </c>
      <c r="C2" s="12" t="inlineStr">
        <is>
          <t>Rainforests</t>
        </is>
      </c>
      <c r="D2" s="13" t="inlineStr">
        <is>
          <t>Wa</t>
        </is>
      </c>
      <c r="E2" s="14" t="inlineStr">
        <is>
          <t>rm</t>
        </is>
      </c>
      <c r="F2" s="13">
        <f>D2&amp;E2</f>
        <v/>
      </c>
    </row>
    <row r="3">
      <c r="A3" s="5" t="n">
        <v>2</v>
      </c>
      <c r="B3" s="5" t="n">
        <v>1</v>
      </c>
      <c r="C3" s="12" t="inlineStr">
        <is>
          <t>Rainforests</t>
        </is>
      </c>
      <c r="D3" s="13" t="inlineStr">
        <is>
          <t>a</t>
        </is>
      </c>
      <c r="E3" s="14" t="inlineStr">
        <is>
          <t>nd</t>
        </is>
      </c>
      <c r="F3" s="13">
        <f>D3&amp;E3</f>
        <v/>
      </c>
    </row>
    <row r="4">
      <c r="A4" s="5" t="n">
        <v>3</v>
      </c>
      <c r="B4" s="5" t="n">
        <v>1</v>
      </c>
      <c r="C4" s="12" t="inlineStr">
        <is>
          <t>Rainforests</t>
        </is>
      </c>
      <c r="D4" s="13" t="inlineStr">
        <is>
          <t>ra</t>
        </is>
      </c>
      <c r="E4" s="14" t="inlineStr">
        <is>
          <t>in</t>
        </is>
      </c>
      <c r="F4" s="13">
        <f>D4&amp;E4</f>
        <v/>
      </c>
    </row>
    <row r="5">
      <c r="A5" s="5" t="n">
        <v>4</v>
      </c>
      <c r="B5" s="5" t="n">
        <v>1</v>
      </c>
      <c r="C5" s="12" t="inlineStr">
        <is>
          <t>Rainforests</t>
        </is>
      </c>
      <c r="D5" s="13" t="inlineStr">
        <is>
          <t>t</t>
        </is>
      </c>
      <c r="E5" s="14" t="inlineStr">
        <is>
          <t>he</t>
        </is>
      </c>
      <c r="F5" s="13">
        <f>D5&amp;E5</f>
        <v/>
      </c>
    </row>
    <row r="6">
      <c r="A6" s="5" t="n">
        <v>5</v>
      </c>
      <c r="B6" s="5" t="n">
        <v>1</v>
      </c>
      <c r="C6" s="12" t="inlineStr">
        <is>
          <t>Rainforests</t>
        </is>
      </c>
      <c r="D6" s="13" t="inlineStr">
        <is>
          <t>envi</t>
        </is>
      </c>
      <c r="E6" s="14" t="inlineStr">
        <is>
          <t>ronment</t>
        </is>
      </c>
      <c r="F6" s="13">
        <f>D6&amp;E6</f>
        <v/>
      </c>
    </row>
    <row r="7">
      <c r="A7" s="5" t="n">
        <v>6</v>
      </c>
      <c r="B7" s="5" t="n">
        <v>1</v>
      </c>
      <c r="C7" s="12" t="inlineStr">
        <is>
          <t>Rainforests</t>
        </is>
      </c>
      <c r="D7" s="13" t="inlineStr">
        <is>
          <t>pl</t>
        </is>
      </c>
      <c r="E7" s="14" t="inlineStr">
        <is>
          <t>ants</t>
        </is>
      </c>
      <c r="F7" s="13">
        <f>D7&amp;E7</f>
        <v/>
      </c>
    </row>
    <row r="8">
      <c r="A8" s="5" t="n">
        <v>7</v>
      </c>
      <c r="B8" s="5" t="n">
        <v>1</v>
      </c>
      <c r="C8" s="12" t="inlineStr">
        <is>
          <t>Rainforests</t>
        </is>
      </c>
      <c r="D8" s="13" t="inlineStr">
        <is>
          <t>gr</t>
        </is>
      </c>
      <c r="E8" s="14" t="inlineStr">
        <is>
          <t>ow</t>
        </is>
      </c>
      <c r="F8" s="13">
        <f>D8&amp;E8</f>
        <v/>
      </c>
    </row>
    <row r="9">
      <c r="A9" s="5" t="n">
        <v>8</v>
      </c>
      <c r="B9" s="5" t="n">
        <v>1</v>
      </c>
      <c r="C9" s="12" t="inlineStr">
        <is>
          <t>Rainforests</t>
        </is>
      </c>
      <c r="D9" s="13" t="inlineStr">
        <is>
          <t>ye</t>
        </is>
      </c>
      <c r="E9" s="14" t="inlineStr">
        <is>
          <t>ar</t>
        </is>
      </c>
      <c r="F9" s="13">
        <f>D9&amp;E9</f>
        <v/>
      </c>
    </row>
    <row r="10">
      <c r="A10" s="5" t="n">
        <v>9</v>
      </c>
      <c r="B10" s="5" t="n">
        <v>1</v>
      </c>
      <c r="C10" s="12" t="inlineStr">
        <is>
          <t>Rainforests</t>
        </is>
      </c>
      <c r="D10" s="13" t="inlineStr">
        <is>
          <t>le</t>
        </is>
      </c>
      <c r="E10" s="14" t="inlineStr">
        <is>
          <t>aves</t>
        </is>
      </c>
      <c r="F10" s="13">
        <f>D10&amp;E10</f>
        <v/>
      </c>
    </row>
    <row r="11">
      <c r="A11" s="5" t="n">
        <v>10</v>
      </c>
      <c r="B11" s="5" t="n">
        <v>1</v>
      </c>
      <c r="C11" s="12" t="inlineStr">
        <is>
          <t>Rainforests</t>
        </is>
      </c>
      <c r="D11" s="13" t="inlineStr">
        <is>
          <t>a</t>
        </is>
      </c>
      <c r="E11" s="14" t="inlineStr">
        <is>
          <t>nd</t>
        </is>
      </c>
      <c r="F11" s="13">
        <f>D11&amp;E11</f>
        <v/>
      </c>
    </row>
    <row r="12">
      <c r="A12" s="15" t="n">
        <v>11</v>
      </c>
      <c r="B12" s="15" t="n">
        <v>2</v>
      </c>
      <c r="C12" s="16" t="inlineStr">
        <is>
          <t>The Moon's surface</t>
        </is>
      </c>
      <c r="D12" s="17" t="inlineStr">
        <is>
          <t>bil</t>
        </is>
      </c>
      <c r="E12" s="18" t="inlineStr">
        <is>
          <t>lions</t>
        </is>
      </c>
      <c r="F12" s="17">
        <f>D12&amp;E12</f>
        <v/>
      </c>
    </row>
    <row r="13">
      <c r="A13" s="15" t="n">
        <v>12</v>
      </c>
      <c r="B13" s="15" t="n">
        <v>2</v>
      </c>
      <c r="C13" s="16" t="inlineStr">
        <is>
          <t>The Moon's surface</t>
        </is>
      </c>
      <c r="D13" s="17" t="inlineStr">
        <is>
          <t>ye</t>
        </is>
      </c>
      <c r="E13" s="18" t="inlineStr">
        <is>
          <t>ars</t>
        </is>
      </c>
      <c r="F13" s="17">
        <f>D13&amp;E13</f>
        <v/>
      </c>
    </row>
    <row r="14">
      <c r="A14" s="15" t="n">
        <v>13</v>
      </c>
      <c r="B14" s="15" t="n">
        <v>2</v>
      </c>
      <c r="C14" s="16" t="inlineStr">
        <is>
          <t>The Moon's surface</t>
        </is>
      </c>
      <c r="D14" s="17" t="inlineStr">
        <is>
          <t>imp</t>
        </is>
      </c>
      <c r="E14" s="18" t="inlineStr">
        <is>
          <t>acts</t>
        </is>
      </c>
      <c r="F14" s="17">
        <f>D14&amp;E14</f>
        <v/>
      </c>
    </row>
    <row r="15">
      <c r="A15" s="15" t="n">
        <v>14</v>
      </c>
      <c r="B15" s="15" t="n">
        <v>2</v>
      </c>
      <c r="C15" s="16" t="inlineStr">
        <is>
          <t>The Moon's surface</t>
        </is>
      </c>
      <c r="D15" s="17" t="inlineStr">
        <is>
          <t>cov</t>
        </is>
      </c>
      <c r="E15" s="18" t="inlineStr">
        <is>
          <t>ered</t>
        </is>
      </c>
      <c r="F15" s="17">
        <f>D15&amp;E15</f>
        <v/>
      </c>
    </row>
    <row r="16">
      <c r="A16" s="15" t="n">
        <v>15</v>
      </c>
      <c r="B16" s="15" t="n">
        <v>2</v>
      </c>
      <c r="C16" s="16" t="inlineStr">
        <is>
          <t>The Moon's surface</t>
        </is>
      </c>
      <c r="D16" s="17" t="inlineStr">
        <is>
          <t>wi</t>
        </is>
      </c>
      <c r="E16" s="18" t="inlineStr">
        <is>
          <t>th</t>
        </is>
      </c>
      <c r="F16" s="17">
        <f>D16&amp;E16</f>
        <v/>
      </c>
    </row>
    <row r="17">
      <c r="A17" s="15" t="n">
        <v>16</v>
      </c>
      <c r="B17" s="15" t="n">
        <v>2</v>
      </c>
      <c r="C17" s="16" t="inlineStr">
        <is>
          <t>The Moon's surface</t>
        </is>
      </c>
      <c r="D17" s="17" t="inlineStr">
        <is>
          <t>du</t>
        </is>
      </c>
      <c r="E17" s="18" t="inlineStr">
        <is>
          <t>st</t>
        </is>
      </c>
      <c r="F17" s="17">
        <f>D17&amp;E17</f>
        <v/>
      </c>
    </row>
    <row r="18">
      <c r="A18" s="15" t="n">
        <v>17</v>
      </c>
      <c r="B18" s="15" t="n">
        <v>2</v>
      </c>
      <c r="C18" s="16" t="inlineStr">
        <is>
          <t>The Moon's surface</t>
        </is>
      </c>
      <c r="D18" s="17" t="inlineStr">
        <is>
          <t>ro</t>
        </is>
      </c>
      <c r="E18" s="18" t="inlineStr">
        <is>
          <t>ck</t>
        </is>
      </c>
      <c r="F18" s="17">
        <f>D18&amp;E18</f>
        <v/>
      </c>
    </row>
    <row r="19">
      <c r="A19" s="15" t="n">
        <v>18</v>
      </c>
      <c r="B19" s="15" t="n">
        <v>2</v>
      </c>
      <c r="C19" s="16" t="inlineStr">
        <is>
          <t>The Moon's surface</t>
        </is>
      </c>
      <c r="D19" s="17" t="inlineStr">
        <is>
          <t>Th</t>
        </is>
      </c>
      <c r="E19" s="18" t="inlineStr">
        <is>
          <t>ese</t>
        </is>
      </c>
      <c r="F19" s="17">
        <f>D19&amp;E19</f>
        <v/>
      </c>
    </row>
    <row r="20">
      <c r="A20" s="15" t="n">
        <v>19</v>
      </c>
      <c r="B20" s="15" t="n">
        <v>2</v>
      </c>
      <c r="C20" s="16" t="inlineStr">
        <is>
          <t>The Moon's surface</t>
        </is>
      </c>
      <c r="D20" s="17" t="inlineStr">
        <is>
          <t>re</t>
        </is>
      </c>
      <c r="E20" s="18" t="inlineStr">
        <is>
          <t>main</t>
        </is>
      </c>
      <c r="F20" s="17">
        <f>D20&amp;E20</f>
        <v/>
      </c>
    </row>
    <row r="21">
      <c r="A21" s="15" t="n">
        <v>20</v>
      </c>
      <c r="B21" s="15" t="n">
        <v>2</v>
      </c>
      <c r="C21" s="16" t="inlineStr">
        <is>
          <t>The Moon's surface</t>
        </is>
      </c>
      <c r="D21" s="17" t="inlineStr">
        <is>
          <t>bec</t>
        </is>
      </c>
      <c r="E21" s="18" t="inlineStr">
        <is>
          <t>ause</t>
        </is>
      </c>
      <c r="F21" s="17">
        <f>D21&amp;E21</f>
        <v/>
      </c>
    </row>
    <row r="22">
      <c r="A22" s="5" t="n">
        <v>21</v>
      </c>
      <c r="B22" s="5" t="n">
        <v>3</v>
      </c>
      <c r="C22" s="12" t="inlineStr">
        <is>
          <t>How sound travels</t>
        </is>
      </c>
      <c r="D22" s="13" t="inlineStr">
        <is>
          <t>Wh</t>
        </is>
      </c>
      <c r="E22" s="14" t="inlineStr">
        <is>
          <t>en</t>
        </is>
      </c>
      <c r="F22" s="13">
        <f>D22&amp;E22</f>
        <v/>
      </c>
    </row>
    <row r="23">
      <c r="A23" s="5" t="n">
        <v>22</v>
      </c>
      <c r="B23" s="5" t="n">
        <v>3</v>
      </c>
      <c r="C23" s="12" t="inlineStr">
        <is>
          <t>How sound travels</t>
        </is>
      </c>
      <c r="D23" s="13" t="inlineStr">
        <is>
          <t>vib</t>
        </is>
      </c>
      <c r="E23" s="14" t="inlineStr">
        <is>
          <t>rates</t>
        </is>
      </c>
      <c r="F23" s="13">
        <f>D23&amp;E23</f>
        <v/>
      </c>
    </row>
    <row r="24">
      <c r="A24" s="5" t="n">
        <v>23</v>
      </c>
      <c r="B24" s="5" t="n">
        <v>3</v>
      </c>
      <c r="C24" s="12" t="inlineStr">
        <is>
          <t>How sound travels</t>
        </is>
      </c>
      <c r="D24" s="13" t="inlineStr">
        <is>
          <t>pu</t>
        </is>
      </c>
      <c r="E24" s="14" t="inlineStr">
        <is>
          <t>shes</t>
        </is>
      </c>
      <c r="F24" s="13">
        <f>D24&amp;E24</f>
        <v/>
      </c>
    </row>
    <row r="25">
      <c r="A25" s="5" t="n">
        <v>24</v>
      </c>
      <c r="B25" s="5" t="n">
        <v>3</v>
      </c>
      <c r="C25" s="12" t="inlineStr">
        <is>
          <t>How sound travels</t>
        </is>
      </c>
      <c r="D25" s="13" t="inlineStr">
        <is>
          <t>pu</t>
        </is>
      </c>
      <c r="E25" s="14" t="inlineStr">
        <is>
          <t>lls</t>
        </is>
      </c>
      <c r="F25" s="13">
        <f>D25&amp;E25</f>
        <v/>
      </c>
    </row>
    <row r="26">
      <c r="A26" s="5" t="n">
        <v>25</v>
      </c>
      <c r="B26" s="5" t="n">
        <v>3</v>
      </c>
      <c r="C26" s="12" t="inlineStr">
        <is>
          <t>How sound travels</t>
        </is>
      </c>
      <c r="D26" s="13" t="inlineStr">
        <is>
          <t>part</t>
        </is>
      </c>
      <c r="E26" s="14" t="inlineStr">
        <is>
          <t>icles</t>
        </is>
      </c>
      <c r="F26" s="13">
        <f>D26&amp;E26</f>
        <v/>
      </c>
    </row>
    <row r="27">
      <c r="A27" s="5" t="n">
        <v>26</v>
      </c>
      <c r="B27" s="5" t="n">
        <v>3</v>
      </c>
      <c r="C27" s="12" t="inlineStr">
        <is>
          <t>How sound travels</t>
        </is>
      </c>
      <c r="D27" s="13" t="inlineStr">
        <is>
          <t>pat</t>
        </is>
      </c>
      <c r="E27" s="14" t="inlineStr">
        <is>
          <t>terns</t>
        </is>
      </c>
      <c r="F27" s="13">
        <f>D27&amp;E27</f>
        <v/>
      </c>
    </row>
    <row r="28">
      <c r="A28" s="5" t="n">
        <v>27</v>
      </c>
      <c r="B28" s="5" t="n">
        <v>3</v>
      </c>
      <c r="C28" s="12" t="inlineStr">
        <is>
          <t>How sound travels</t>
        </is>
      </c>
      <c r="D28" s="13" t="inlineStr">
        <is>
          <t>mot</t>
        </is>
      </c>
      <c r="E28" s="14" t="inlineStr">
        <is>
          <t>ion</t>
        </is>
      </c>
      <c r="F28" s="13">
        <f>D28&amp;E28</f>
        <v/>
      </c>
    </row>
    <row r="29">
      <c r="A29" s="5" t="n">
        <v>28</v>
      </c>
      <c r="B29" s="5" t="n">
        <v>3</v>
      </c>
      <c r="C29" s="12" t="inlineStr">
        <is>
          <t>How sound travels</t>
        </is>
      </c>
      <c r="D29" s="13" t="inlineStr">
        <is>
          <t>o</t>
        </is>
      </c>
      <c r="E29" s="14" t="inlineStr">
        <is>
          <t>ur</t>
        </is>
      </c>
      <c r="F29" s="13">
        <f>D29&amp;E29</f>
        <v/>
      </c>
    </row>
    <row r="30">
      <c r="A30" s="5" t="n">
        <v>29</v>
      </c>
      <c r="B30" s="5" t="n">
        <v>3</v>
      </c>
      <c r="C30" s="12" t="inlineStr">
        <is>
          <t>How sound travels</t>
        </is>
      </c>
      <c r="D30" s="13" t="inlineStr">
        <is>
          <t>c</t>
        </is>
      </c>
      <c r="E30" s="14" t="inlineStr">
        <is>
          <t>an</t>
        </is>
      </c>
      <c r="F30" s="13">
        <f>D30&amp;E30</f>
        <v/>
      </c>
    </row>
    <row r="31">
      <c r="A31" s="5" t="n">
        <v>30</v>
      </c>
      <c r="B31" s="5" t="n">
        <v>3</v>
      </c>
      <c r="C31" s="12" t="inlineStr">
        <is>
          <t>How sound travels</t>
        </is>
      </c>
      <c r="D31" s="13" t="inlineStr">
        <is>
          <t>Fa</t>
        </is>
      </c>
      <c r="E31" s="14" t="inlineStr">
        <is>
          <t>ster</t>
        </is>
      </c>
      <c r="F31" s="13">
        <f>D31&amp;E31</f>
        <v/>
      </c>
    </row>
    <row r="32">
      <c r="A32" s="15" t="n">
        <v>31</v>
      </c>
      <c r="B32" s="15" t="n">
        <v>4</v>
      </c>
      <c r="C32" s="16" t="inlineStr">
        <is>
          <t>Working in a team</t>
        </is>
      </c>
      <c r="D32" s="17" t="inlineStr">
        <is>
          <t>Wh</t>
        </is>
      </c>
      <c r="E32" s="18" t="inlineStr">
        <is>
          <t>en</t>
        </is>
      </c>
      <c r="F32" s="17">
        <f>D32&amp;E32</f>
        <v/>
      </c>
    </row>
    <row r="33">
      <c r="A33" s="15" t="n">
        <v>32</v>
      </c>
      <c r="B33" s="15" t="n">
        <v>4</v>
      </c>
      <c r="C33" s="16" t="inlineStr">
        <is>
          <t>Working in a team</t>
        </is>
      </c>
      <c r="D33" s="17" t="inlineStr">
        <is>
          <t>li</t>
        </is>
      </c>
      <c r="E33" s="18" t="inlineStr">
        <is>
          <t>sten</t>
        </is>
      </c>
      <c r="F33" s="17">
        <f>D33&amp;E33</f>
        <v/>
      </c>
    </row>
    <row r="34">
      <c r="A34" s="15" t="n">
        <v>33</v>
      </c>
      <c r="B34" s="15" t="n">
        <v>4</v>
      </c>
      <c r="C34" s="16" t="inlineStr">
        <is>
          <t>Working in a team</t>
        </is>
      </c>
      <c r="D34" s="17" t="inlineStr">
        <is>
          <t>sh</t>
        </is>
      </c>
      <c r="E34" s="18" t="inlineStr">
        <is>
          <t>are</t>
        </is>
      </c>
      <c r="F34" s="17">
        <f>D34&amp;E34</f>
        <v/>
      </c>
    </row>
    <row r="35">
      <c r="A35" s="15" t="n">
        <v>34</v>
      </c>
      <c r="B35" s="15" t="n">
        <v>4</v>
      </c>
      <c r="C35" s="16" t="inlineStr">
        <is>
          <t>Working in a team</t>
        </is>
      </c>
      <c r="D35" s="17" t="inlineStr">
        <is>
          <t>pro</t>
        </is>
      </c>
      <c r="E35" s="18" t="inlineStr">
        <is>
          <t>blems</t>
        </is>
      </c>
      <c r="F35" s="17">
        <f>D35&amp;E35</f>
        <v/>
      </c>
    </row>
    <row r="36">
      <c r="A36" s="15" t="n">
        <v>35</v>
      </c>
      <c r="B36" s="15" t="n">
        <v>4</v>
      </c>
      <c r="C36" s="16" t="inlineStr">
        <is>
          <t>Working in a team</t>
        </is>
      </c>
      <c r="D36" s="17" t="inlineStr">
        <is>
          <t>so</t>
        </is>
      </c>
      <c r="E36" s="18" t="inlineStr">
        <is>
          <t>lved</t>
        </is>
      </c>
      <c r="F36" s="17">
        <f>D36&amp;E36</f>
        <v/>
      </c>
    </row>
    <row r="37">
      <c r="A37" s="15" t="n">
        <v>36</v>
      </c>
      <c r="B37" s="15" t="n">
        <v>4</v>
      </c>
      <c r="C37" s="16" t="inlineStr">
        <is>
          <t>Working in a team</t>
        </is>
      </c>
      <c r="D37" s="17" t="inlineStr">
        <is>
          <t>crea</t>
        </is>
      </c>
      <c r="E37" s="18" t="inlineStr">
        <is>
          <t>tively</t>
        </is>
      </c>
      <c r="F37" s="17">
        <f>D37&amp;E37</f>
        <v/>
      </c>
    </row>
    <row r="38">
      <c r="A38" s="15" t="n">
        <v>37</v>
      </c>
      <c r="B38" s="15" t="n">
        <v>4</v>
      </c>
      <c r="C38" s="16" t="inlineStr">
        <is>
          <t>Working in a team</t>
        </is>
      </c>
      <c r="D38" s="17" t="inlineStr">
        <is>
          <t>bu</t>
        </is>
      </c>
      <c r="E38" s="18" t="inlineStr">
        <is>
          <t>ilds</t>
        </is>
      </c>
      <c r="F38" s="17">
        <f>D38&amp;E38</f>
        <v/>
      </c>
    </row>
    <row r="39">
      <c r="A39" s="15" t="n">
        <v>38</v>
      </c>
      <c r="B39" s="15" t="n">
        <v>4</v>
      </c>
      <c r="C39" s="16" t="inlineStr">
        <is>
          <t>Working in a team</t>
        </is>
      </c>
      <c r="D39" s="17" t="inlineStr">
        <is>
          <t>pe</t>
        </is>
      </c>
      <c r="E39" s="18" t="inlineStr">
        <is>
          <t>ople</t>
        </is>
      </c>
      <c r="F39" s="17">
        <f>D39&amp;E39</f>
        <v/>
      </c>
    </row>
    <row r="40">
      <c r="A40" s="15" t="n">
        <v>39</v>
      </c>
      <c r="B40" s="15" t="n">
        <v>4</v>
      </c>
      <c r="C40" s="16" t="inlineStr">
        <is>
          <t>Working in a team</t>
        </is>
      </c>
      <c r="D40" s="17" t="inlineStr">
        <is>
          <t>o</t>
        </is>
      </c>
      <c r="E40" s="18" t="inlineStr">
        <is>
          <t>n</t>
        </is>
      </c>
      <c r="F40" s="17">
        <f>D40&amp;E40</f>
        <v/>
      </c>
    </row>
    <row r="41">
      <c r="A41" s="15" t="n">
        <v>40</v>
      </c>
      <c r="B41" s="15" t="n">
        <v>4</v>
      </c>
      <c r="C41" s="16" t="inlineStr">
        <is>
          <t>Working in a team</t>
        </is>
      </c>
      <c r="D41" s="17" t="inlineStr">
        <is>
          <t>ano</t>
        </is>
      </c>
      <c r="E41" s="18" t="inlineStr">
        <is>
          <t>ther</t>
        </is>
      </c>
      <c r="F41" s="17">
        <f>D41&amp;E41</f>
        <v/>
      </c>
    </row>
    <row r="42">
      <c r="A42" s="5" t="n">
        <v>41</v>
      </c>
      <c r="B42" s="5" t="n">
        <v>5</v>
      </c>
      <c r="C42" s="12" t="inlineStr">
        <is>
          <t>Rivers</t>
        </is>
      </c>
      <c r="D42" s="13" t="inlineStr">
        <is>
          <t>Ov</t>
        </is>
      </c>
      <c r="E42" s="14" t="inlineStr">
        <is>
          <t>er</t>
        </is>
      </c>
      <c r="F42" s="13">
        <f>D42&amp;E42</f>
        <v/>
      </c>
    </row>
    <row r="43">
      <c r="A43" s="5" t="n">
        <v>42</v>
      </c>
      <c r="B43" s="5" t="n">
        <v>5</v>
      </c>
      <c r="C43" s="12" t="inlineStr">
        <is>
          <t>Rivers</t>
        </is>
      </c>
      <c r="D43" s="13" t="inlineStr">
        <is>
          <t>wa</t>
        </is>
      </c>
      <c r="E43" s="14" t="inlineStr">
        <is>
          <t>ter</t>
        </is>
      </c>
      <c r="F43" s="13">
        <f>D43&amp;E43</f>
        <v/>
      </c>
    </row>
    <row r="44">
      <c r="A44" s="5" t="n">
        <v>43</v>
      </c>
      <c r="B44" s="5" t="n">
        <v>5</v>
      </c>
      <c r="C44" s="12" t="inlineStr">
        <is>
          <t>Rivers</t>
        </is>
      </c>
      <c r="D44" s="13" t="inlineStr">
        <is>
          <t>aw</t>
        </is>
      </c>
      <c r="E44" s="14" t="inlineStr">
        <is>
          <t>ay</t>
        </is>
      </c>
      <c r="F44" s="13">
        <f>D44&amp;E44</f>
        <v/>
      </c>
    </row>
    <row r="45">
      <c r="A45" s="5" t="n">
        <v>44</v>
      </c>
      <c r="B45" s="5" t="n">
        <v>5</v>
      </c>
      <c r="C45" s="12" t="inlineStr">
        <is>
          <t>Rivers</t>
        </is>
      </c>
      <c r="D45" s="13" t="inlineStr">
        <is>
          <t>a</t>
        </is>
      </c>
      <c r="E45" s="14" t="inlineStr">
        <is>
          <t>nd</t>
        </is>
      </c>
      <c r="F45" s="13">
        <f>D45&amp;E45</f>
        <v/>
      </c>
    </row>
    <row r="46">
      <c r="A46" s="5" t="n">
        <v>45</v>
      </c>
      <c r="B46" s="5" t="n">
        <v>5</v>
      </c>
      <c r="C46" s="12" t="inlineStr">
        <is>
          <t>Rivers</t>
        </is>
      </c>
      <c r="D46" s="13" t="inlineStr">
        <is>
          <t>car</t>
        </is>
      </c>
      <c r="E46" s="14" t="inlineStr">
        <is>
          <t>ving</t>
        </is>
      </c>
      <c r="F46" s="13">
        <f>D46&amp;E46</f>
        <v/>
      </c>
    </row>
    <row r="47">
      <c r="A47" s="5" t="n">
        <v>46</v>
      </c>
      <c r="B47" s="5" t="n">
        <v>5</v>
      </c>
      <c r="C47" s="12" t="inlineStr">
        <is>
          <t>Rivers</t>
        </is>
      </c>
      <c r="D47" s="13" t="inlineStr">
        <is>
          <t>a</t>
        </is>
      </c>
      <c r="E47" s="14" t="inlineStr">
        <is>
          <t>nd</t>
        </is>
      </c>
      <c r="F47" s="13">
        <f>D47&amp;E47</f>
        <v/>
      </c>
    </row>
    <row r="48">
      <c r="A48" s="5" t="n">
        <v>47</v>
      </c>
      <c r="B48" s="5" t="n">
        <v>5</v>
      </c>
      <c r="C48" s="12" t="inlineStr">
        <is>
          <t>Rivers</t>
        </is>
      </c>
      <c r="D48" s="13" t="inlineStr">
        <is>
          <t>n</t>
        </is>
      </c>
      <c r="E48" s="14" t="inlineStr">
        <is>
          <t>ew</t>
        </is>
      </c>
      <c r="F48" s="13">
        <f>D48&amp;E48</f>
        <v/>
      </c>
    </row>
    <row r="49">
      <c r="A49" s="5" t="n">
        <v>48</v>
      </c>
      <c r="B49" s="5" t="n">
        <v>5</v>
      </c>
      <c r="C49" s="12" t="inlineStr">
        <is>
          <t>Rivers</t>
        </is>
      </c>
      <c r="D49" s="13" t="inlineStr">
        <is>
          <t>Wh</t>
        </is>
      </c>
      <c r="E49" s="14" t="inlineStr">
        <is>
          <t>en</t>
        </is>
      </c>
      <c r="F49" s="13">
        <f>D49&amp;E49</f>
        <v/>
      </c>
    </row>
    <row r="50">
      <c r="A50" s="5" t="n">
        <v>49</v>
      </c>
      <c r="B50" s="5" t="n">
        <v>5</v>
      </c>
      <c r="C50" s="12" t="inlineStr">
        <is>
          <t>Rivers</t>
        </is>
      </c>
      <c r="D50" s="13" t="inlineStr">
        <is>
          <t>oc</t>
        </is>
      </c>
      <c r="E50" s="14" t="inlineStr">
        <is>
          <t>cur</t>
        </is>
      </c>
      <c r="F50" s="13">
        <f>D50&amp;E50</f>
        <v/>
      </c>
    </row>
    <row r="51">
      <c r="A51" s="5" t="n">
        <v>50</v>
      </c>
      <c r="B51" s="5" t="n">
        <v>5</v>
      </c>
      <c r="C51" s="12" t="inlineStr">
        <is>
          <t>Rivers</t>
        </is>
      </c>
      <c r="D51" s="13" t="inlineStr">
        <is>
          <t>c</t>
        </is>
      </c>
      <c r="E51" s="14" t="inlineStr">
        <is>
          <t>an</t>
        </is>
      </c>
      <c r="F51" s="13">
        <f>D51&amp;E51</f>
        <v/>
      </c>
    </row>
    <row r="52">
      <c r="A52" s="15" t="n">
        <v>51</v>
      </c>
      <c r="B52" s="15" t="n">
        <v>6</v>
      </c>
      <c r="C52" s="16" t="inlineStr">
        <is>
          <t>Privacy online</t>
        </is>
      </c>
      <c r="D52" s="17" t="inlineStr">
        <is>
          <t>Ea</t>
        </is>
      </c>
      <c r="E52" s="18" t="inlineStr">
        <is>
          <t>ch</t>
        </is>
      </c>
      <c r="F52" s="17">
        <f>D52&amp;E52</f>
        <v/>
      </c>
    </row>
    <row r="53">
      <c r="A53" s="15" t="n">
        <v>52</v>
      </c>
      <c r="B53" s="15" t="n">
        <v>6</v>
      </c>
      <c r="C53" s="16" t="inlineStr">
        <is>
          <t>Privacy online</t>
        </is>
      </c>
      <c r="D53" s="17" t="inlineStr">
        <is>
          <t>w</t>
        </is>
      </c>
      <c r="E53" s="18" t="inlineStr">
        <is>
          <t>e</t>
        </is>
      </c>
      <c r="F53" s="17">
        <f>D53&amp;E53</f>
        <v/>
      </c>
    </row>
    <row r="54">
      <c r="A54" s="15" t="n">
        <v>53</v>
      </c>
      <c r="B54" s="15" t="n">
        <v>6</v>
      </c>
      <c r="C54" s="16" t="inlineStr">
        <is>
          <t>Privacy online</t>
        </is>
      </c>
      <c r="D54" s="17" t="inlineStr">
        <is>
          <t>po</t>
        </is>
      </c>
      <c r="E54" s="18" t="inlineStr">
        <is>
          <t>st</t>
        </is>
      </c>
      <c r="F54" s="17">
        <f>D54&amp;E54</f>
        <v/>
      </c>
    </row>
    <row r="55">
      <c r="A55" s="15" t="n">
        <v>54</v>
      </c>
      <c r="B55" s="15" t="n">
        <v>6</v>
      </c>
      <c r="C55" s="16" t="inlineStr">
        <is>
          <t>Privacy online</t>
        </is>
      </c>
      <c r="D55" s="17" t="inlineStr">
        <is>
          <t>sh</t>
        </is>
      </c>
      <c r="E55" s="18" t="inlineStr">
        <is>
          <t>op</t>
        </is>
      </c>
      <c r="F55" s="17">
        <f>D55&amp;E55</f>
        <v/>
      </c>
    </row>
    <row r="56">
      <c r="A56" s="15" t="n">
        <v>55</v>
      </c>
      <c r="B56" s="15" t="n">
        <v>6</v>
      </c>
      <c r="C56" s="16" t="inlineStr">
        <is>
          <t>Privacy online</t>
        </is>
      </c>
      <c r="D56" s="17" t="inlineStr">
        <is>
          <t>o</t>
        </is>
      </c>
      <c r="E56" s="18" t="inlineStr">
        <is>
          <t>ur</t>
        </is>
      </c>
      <c r="F56" s="17">
        <f>D56&amp;E56</f>
        <v/>
      </c>
    </row>
    <row r="57">
      <c r="A57" s="15" t="n">
        <v>56</v>
      </c>
      <c r="B57" s="15" t="n">
        <v>6</v>
      </c>
      <c r="C57" s="16" t="inlineStr">
        <is>
          <t>Privacy online</t>
        </is>
      </c>
      <c r="D57" s="17" t="inlineStr">
        <is>
          <t>le</t>
        </is>
      </c>
      <c r="E57" s="18" t="inlineStr">
        <is>
          <t>aves</t>
        </is>
      </c>
      <c r="F57" s="17">
        <f>D57&amp;E57</f>
        <v/>
      </c>
    </row>
    <row r="58">
      <c r="A58" s="15" t="n">
        <v>57</v>
      </c>
      <c r="B58" s="15" t="n">
        <v>6</v>
      </c>
      <c r="C58" s="16" t="inlineStr">
        <is>
          <t>Privacy online</t>
        </is>
      </c>
      <c r="D58" s="17" t="inlineStr">
        <is>
          <t>dig</t>
        </is>
      </c>
      <c r="E58" s="18" t="inlineStr">
        <is>
          <t>ital</t>
        </is>
      </c>
      <c r="F58" s="17">
        <f>D58&amp;E58</f>
        <v/>
      </c>
    </row>
    <row r="59">
      <c r="A59" s="15" t="n">
        <v>58</v>
      </c>
      <c r="B59" s="15" t="n">
        <v>6</v>
      </c>
      <c r="C59" s="16" t="inlineStr">
        <is>
          <t>Privacy online</t>
        </is>
      </c>
      <c r="D59" s="17" t="inlineStr">
        <is>
          <t>Comp</t>
        </is>
      </c>
      <c r="E59" s="18" t="inlineStr">
        <is>
          <t>anies</t>
        </is>
      </c>
      <c r="F59" s="17">
        <f>D59&amp;E59</f>
        <v/>
      </c>
    </row>
    <row r="60">
      <c r="A60" s="15" t="n">
        <v>59</v>
      </c>
      <c r="B60" s="15" t="n">
        <v>6</v>
      </c>
      <c r="C60" s="16" t="inlineStr">
        <is>
          <t>Privacy online</t>
        </is>
      </c>
      <c r="D60" s="17" t="inlineStr">
        <is>
          <t>th</t>
        </is>
      </c>
      <c r="E60" s="18" t="inlineStr">
        <is>
          <t>is</t>
        </is>
      </c>
      <c r="F60" s="17">
        <f>D60&amp;E60</f>
        <v/>
      </c>
    </row>
    <row r="61">
      <c r="A61" s="15" t="n">
        <v>60</v>
      </c>
      <c r="B61" s="15" t="n">
        <v>6</v>
      </c>
      <c r="C61" s="16" t="inlineStr">
        <is>
          <t>Privacy online</t>
        </is>
      </c>
      <c r="D61" s="17" t="inlineStr">
        <is>
          <t>imp</t>
        </is>
      </c>
      <c r="E61" s="18" t="inlineStr">
        <is>
          <t>rove</t>
        </is>
      </c>
      <c r="F61" s="17">
        <f>D61&amp;E61</f>
        <v/>
      </c>
    </row>
    <row r="62">
      <c r="A62" s="5" t="n">
        <v>61</v>
      </c>
      <c r="B62" s="5" t="n">
        <v>7</v>
      </c>
      <c r="C62" s="12" t="inlineStr">
        <is>
          <t>Living in a new culture</t>
        </is>
      </c>
      <c r="D62" s="13" t="inlineStr">
        <is>
          <t>Beha</t>
        </is>
      </c>
      <c r="E62" s="14" t="inlineStr">
        <is>
          <t>viors</t>
        </is>
      </c>
      <c r="F62" s="13">
        <f>D62&amp;E62</f>
        <v/>
      </c>
    </row>
    <row r="63">
      <c r="A63" s="5" t="n">
        <v>62</v>
      </c>
      <c r="B63" s="5" t="n">
        <v>7</v>
      </c>
      <c r="C63" s="12" t="inlineStr">
        <is>
          <t>Living in a new culture</t>
        </is>
      </c>
      <c r="D63" s="13" t="inlineStr">
        <is>
          <t>fe</t>
        </is>
      </c>
      <c r="E63" s="14" t="inlineStr">
        <is>
          <t>el</t>
        </is>
      </c>
      <c r="F63" s="13">
        <f>D63&amp;E63</f>
        <v/>
      </c>
    </row>
    <row r="64">
      <c r="A64" s="5" t="n">
        <v>63</v>
      </c>
      <c r="B64" s="5" t="n">
        <v>7</v>
      </c>
      <c r="C64" s="12" t="inlineStr">
        <is>
          <t>Living in a new culture</t>
        </is>
      </c>
      <c r="D64" s="13" t="inlineStr">
        <is>
          <t>i</t>
        </is>
      </c>
      <c r="E64" s="14" t="inlineStr">
        <is>
          <t>n</t>
        </is>
      </c>
      <c r="F64" s="13">
        <f>D64&amp;E64</f>
        <v/>
      </c>
    </row>
    <row r="65">
      <c r="A65" s="5" t="n">
        <v>64</v>
      </c>
      <c r="B65" s="5" t="n">
        <v>7</v>
      </c>
      <c r="C65" s="12" t="inlineStr">
        <is>
          <t>Living in a new culture</t>
        </is>
      </c>
      <c r="D65" s="13" t="inlineStr">
        <is>
          <t>cul</t>
        </is>
      </c>
      <c r="E65" s="14" t="inlineStr">
        <is>
          <t>ture</t>
        </is>
      </c>
      <c r="F65" s="13">
        <f>D65&amp;E65</f>
        <v/>
      </c>
    </row>
    <row r="66">
      <c r="A66" s="5" t="n">
        <v>65</v>
      </c>
      <c r="B66" s="5" t="n">
        <v>7</v>
      </c>
      <c r="C66" s="12" t="inlineStr">
        <is>
          <t>Living in a new culture</t>
        </is>
      </c>
      <c r="D66" s="13" t="inlineStr">
        <is>
          <t>a</t>
        </is>
      </c>
      <c r="E66" s="14" t="inlineStr">
        <is>
          <t>s</t>
        </is>
      </c>
      <c r="F66" s="13">
        <f>D66&amp;E66</f>
        <v/>
      </c>
    </row>
    <row r="67">
      <c r="A67" s="5" t="n">
        <v>66</v>
      </c>
      <c r="B67" s="5" t="n">
        <v>7</v>
      </c>
      <c r="C67" s="12" t="inlineStr">
        <is>
          <t>Living in a new culture</t>
        </is>
      </c>
      <c r="D67" s="13" t="inlineStr">
        <is>
          <t>cl</t>
        </is>
      </c>
      <c r="E67" s="14" t="inlineStr">
        <is>
          <t>ose</t>
        </is>
      </c>
      <c r="F67" s="13">
        <f>D67&amp;E67</f>
        <v/>
      </c>
    </row>
    <row r="68">
      <c r="A68" s="5" t="n">
        <v>67</v>
      </c>
      <c r="B68" s="5" t="n">
        <v>7</v>
      </c>
      <c r="C68" s="12" t="inlineStr">
        <is>
          <t>Living in a new culture</t>
        </is>
      </c>
      <c r="D68" s="13" t="inlineStr">
        <is>
          <t>st</t>
        </is>
      </c>
      <c r="E68" s="14" t="inlineStr">
        <is>
          <t>and</t>
        </is>
      </c>
      <c r="F68" s="13">
        <f>D68&amp;E68</f>
        <v/>
      </c>
    </row>
    <row r="69">
      <c r="A69" s="5" t="n">
        <v>68</v>
      </c>
      <c r="B69" s="5" t="n">
        <v>7</v>
      </c>
      <c r="C69" s="12" t="inlineStr">
        <is>
          <t>Living in a new culture</t>
        </is>
      </c>
      <c r="D69" s="13" t="inlineStr">
        <is>
          <t>wh</t>
        </is>
      </c>
      <c r="E69" s="14" t="inlineStr">
        <is>
          <t>en</t>
        </is>
      </c>
      <c r="F69" s="13">
        <f>D69&amp;E69</f>
        <v/>
      </c>
    </row>
    <row r="70">
      <c r="A70" s="5" t="n">
        <v>69</v>
      </c>
      <c r="B70" s="5" t="n">
        <v>7</v>
      </c>
      <c r="C70" s="12" t="inlineStr">
        <is>
          <t>Living in a new culture</t>
        </is>
      </c>
      <c r="D70" s="13" t="inlineStr">
        <is>
          <t>sp</t>
        </is>
      </c>
      <c r="E70" s="14" t="inlineStr">
        <is>
          <t>eak</t>
        </is>
      </c>
      <c r="F70" s="13">
        <f>D70&amp;E70</f>
        <v/>
      </c>
    </row>
    <row r="71">
      <c r="A71" s="5" t="n">
        <v>70</v>
      </c>
      <c r="B71" s="5" t="n">
        <v>7</v>
      </c>
      <c r="C71" s="12" t="inlineStr">
        <is>
          <t>Living in a new culture</t>
        </is>
      </c>
      <c r="D71" s="13" t="inlineStr">
        <is>
          <t>se</t>
        </is>
      </c>
      <c r="E71" s="14" t="inlineStr">
        <is>
          <t>em</t>
        </is>
      </c>
      <c r="F71" s="13">
        <f>D71&amp;E71</f>
        <v/>
      </c>
    </row>
    <row r="72">
      <c r="A72" s="15" t="n">
        <v>71</v>
      </c>
      <c r="B72" s="15" t="n">
        <v>8</v>
      </c>
      <c r="C72" s="16" t="inlineStr">
        <is>
          <t>From hunting to farming</t>
        </is>
      </c>
      <c r="D72" s="17" t="inlineStr">
        <is>
          <t>Pe</t>
        </is>
      </c>
      <c r="E72" s="18" t="inlineStr">
        <is>
          <t>ople</t>
        </is>
      </c>
      <c r="F72" s="17">
        <f>D72&amp;E72</f>
        <v/>
      </c>
    </row>
    <row r="73">
      <c r="A73" s="15" t="n">
        <v>72</v>
      </c>
      <c r="B73" s="15" t="n">
        <v>8</v>
      </c>
      <c r="C73" s="16" t="inlineStr">
        <is>
          <t>From hunting to farming</t>
        </is>
      </c>
      <c r="D73" s="17" t="inlineStr">
        <is>
          <t>pla</t>
        </is>
      </c>
      <c r="E73" s="18" t="inlineStr">
        <is>
          <t>nting</t>
        </is>
      </c>
      <c r="F73" s="17">
        <f>D73&amp;E73</f>
        <v/>
      </c>
    </row>
    <row r="74">
      <c r="A74" s="15" t="n">
        <v>73</v>
      </c>
      <c r="B74" s="15" t="n">
        <v>8</v>
      </c>
      <c r="C74" s="16" t="inlineStr">
        <is>
          <t>From hunting to farming</t>
        </is>
      </c>
      <c r="D74" s="17" t="inlineStr">
        <is>
          <t>a</t>
        </is>
      </c>
      <c r="E74" s="18" t="inlineStr">
        <is>
          <t>nd</t>
        </is>
      </c>
      <c r="F74" s="17">
        <f>D74&amp;E74</f>
        <v/>
      </c>
    </row>
    <row r="75">
      <c r="A75" s="15" t="n">
        <v>74</v>
      </c>
      <c r="B75" s="15" t="n">
        <v>8</v>
      </c>
      <c r="C75" s="16" t="inlineStr">
        <is>
          <t>From hunting to farming</t>
        </is>
      </c>
      <c r="D75" s="17" t="inlineStr">
        <is>
          <t>ani</t>
        </is>
      </c>
      <c r="E75" s="18" t="inlineStr">
        <is>
          <t>mals</t>
        </is>
      </c>
      <c r="F75" s="17">
        <f>D75&amp;E75</f>
        <v/>
      </c>
    </row>
    <row r="76">
      <c r="A76" s="15" t="n">
        <v>75</v>
      </c>
      <c r="B76" s="15" t="n">
        <v>8</v>
      </c>
      <c r="C76" s="16" t="inlineStr">
        <is>
          <t>From hunting to farming</t>
        </is>
      </c>
      <c r="D76" s="17" t="inlineStr">
        <is>
          <t>o</t>
        </is>
      </c>
      <c r="E76" s="18" t="inlineStr">
        <is>
          <t>f</t>
        </is>
      </c>
      <c r="F76" s="17">
        <f>D76&amp;E76</f>
        <v/>
      </c>
    </row>
    <row r="77">
      <c r="A77" s="15" t="n">
        <v>76</v>
      </c>
      <c r="B77" s="15" t="n">
        <v>8</v>
      </c>
      <c r="C77" s="16" t="inlineStr">
        <is>
          <t>From hunting to farming</t>
        </is>
      </c>
      <c r="D77" s="17" t="inlineStr">
        <is>
          <t>cons</t>
        </is>
      </c>
      <c r="E77" s="18" t="inlineStr">
        <is>
          <t>tantly</t>
        </is>
      </c>
      <c r="F77" s="17">
        <f>D77&amp;E77</f>
        <v/>
      </c>
    </row>
    <row r="78">
      <c r="A78" s="15" t="n">
        <v>77</v>
      </c>
      <c r="B78" s="15" t="n">
        <v>8</v>
      </c>
      <c r="C78" s="16" t="inlineStr">
        <is>
          <t>From hunting to farming</t>
        </is>
      </c>
      <c r="D78" s="17" t="inlineStr">
        <is>
          <t>se</t>
        </is>
      </c>
      <c r="E78" s="18" t="inlineStr">
        <is>
          <t>arch</t>
        </is>
      </c>
      <c r="F78" s="17">
        <f>D78&amp;E78</f>
        <v/>
      </c>
    </row>
    <row r="79">
      <c r="A79" s="15" t="n">
        <v>78</v>
      </c>
      <c r="B79" s="15" t="n">
        <v>8</v>
      </c>
      <c r="C79" s="16" t="inlineStr">
        <is>
          <t>From hunting to farming</t>
        </is>
      </c>
      <c r="D79" s="17" t="inlineStr">
        <is>
          <t>fo</t>
        </is>
      </c>
      <c r="E79" s="18" t="inlineStr">
        <is>
          <t>od</t>
        </is>
      </c>
      <c r="F79" s="17">
        <f>D79&amp;E79</f>
        <v/>
      </c>
    </row>
    <row r="80">
      <c r="A80" s="15" t="n">
        <v>79</v>
      </c>
      <c r="B80" s="15" t="n">
        <v>8</v>
      </c>
      <c r="C80" s="16" t="inlineStr">
        <is>
          <t>From hunting to farming</t>
        </is>
      </c>
      <c r="D80" s="17" t="inlineStr">
        <is>
          <t>rel</t>
        </is>
      </c>
      <c r="E80" s="18" t="inlineStr">
        <is>
          <t>iable</t>
        </is>
      </c>
      <c r="F80" s="17">
        <f>D80&amp;E80</f>
        <v/>
      </c>
    </row>
    <row r="81">
      <c r="A81" s="15" t="n">
        <v>80</v>
      </c>
      <c r="B81" s="15" t="n">
        <v>8</v>
      </c>
      <c r="C81" s="16" t="inlineStr">
        <is>
          <t>From hunting to farming</t>
        </is>
      </c>
      <c r="D81" s="17" t="inlineStr">
        <is>
          <t>vil</t>
        </is>
      </c>
      <c r="E81" s="18" t="inlineStr">
        <is>
          <t>lages</t>
        </is>
      </c>
      <c r="F81" s="17">
        <f>D81&amp;E81</f>
        <v/>
      </c>
    </row>
    <row r="82">
      <c r="A82" s="5" t="n">
        <v>81</v>
      </c>
      <c r="B82" s="5" t="n">
        <v>9</v>
      </c>
      <c r="C82" s="12" t="inlineStr">
        <is>
          <t>The sense of smell</t>
        </is>
      </c>
      <c r="D82" s="13" t="inlineStr">
        <is>
          <t>Wh</t>
        </is>
      </c>
      <c r="E82" s="14" t="inlineStr">
        <is>
          <t>en</t>
        </is>
      </c>
      <c r="F82" s="13">
        <f>D82&amp;E82</f>
        <v/>
      </c>
    </row>
    <row r="83">
      <c r="A83" s="5" t="n">
        <v>82</v>
      </c>
      <c r="B83" s="5" t="n">
        <v>9</v>
      </c>
      <c r="C83" s="12" t="inlineStr">
        <is>
          <t>The sense of smell</t>
        </is>
      </c>
      <c r="D83" s="13" t="inlineStr">
        <is>
          <t>bre</t>
        </is>
      </c>
      <c r="E83" s="14" t="inlineStr">
        <is>
          <t>athe</t>
        </is>
      </c>
      <c r="F83" s="13">
        <f>D83&amp;E83</f>
        <v/>
      </c>
    </row>
    <row r="84">
      <c r="A84" s="5" t="n">
        <v>83</v>
      </c>
      <c r="B84" s="5" t="n">
        <v>9</v>
      </c>
      <c r="C84" s="12" t="inlineStr">
        <is>
          <t>The sense of smell</t>
        </is>
      </c>
      <c r="D84" s="13" t="inlineStr">
        <is>
          <t>ti</t>
        </is>
      </c>
      <c r="E84" s="14" t="inlineStr">
        <is>
          <t>ny</t>
        </is>
      </c>
      <c r="F84" s="13">
        <f>D84&amp;E84</f>
        <v/>
      </c>
    </row>
    <row r="85">
      <c r="A85" s="5" t="n">
        <v>84</v>
      </c>
      <c r="B85" s="5" t="n">
        <v>9</v>
      </c>
      <c r="C85" s="12" t="inlineStr">
        <is>
          <t>The sense of smell</t>
        </is>
      </c>
      <c r="D85" s="13" t="inlineStr">
        <is>
          <t>tr</t>
        </is>
      </c>
      <c r="E85" s="14" t="inlineStr">
        <is>
          <t>avel</t>
        </is>
      </c>
      <c r="F85" s="13">
        <f>D85&amp;E85</f>
        <v/>
      </c>
    </row>
    <row r="86">
      <c r="A86" s="5" t="n">
        <v>85</v>
      </c>
      <c r="B86" s="5" t="n">
        <v>9</v>
      </c>
      <c r="C86" s="12" t="inlineStr">
        <is>
          <t>The sense of smell</t>
        </is>
      </c>
      <c r="D86" s="13" t="inlineStr">
        <is>
          <t>t</t>
        </is>
      </c>
      <c r="E86" s="14" t="inlineStr">
        <is>
          <t>he</t>
        </is>
      </c>
      <c r="F86" s="13">
        <f>D86&amp;E86</f>
        <v/>
      </c>
    </row>
    <row r="87">
      <c r="A87" s="5" t="n">
        <v>86</v>
      </c>
      <c r="B87" s="5" t="n">
        <v>9</v>
      </c>
      <c r="C87" s="12" t="inlineStr">
        <is>
          <t>The sense of smell</t>
        </is>
      </c>
      <c r="D87" s="13" t="inlineStr">
        <is>
          <t>a</t>
        </is>
      </c>
      <c r="E87" s="14" t="inlineStr">
        <is>
          <t>nd</t>
        </is>
      </c>
      <c r="F87" s="13">
        <f>D87&amp;E87</f>
        <v/>
      </c>
    </row>
    <row r="88">
      <c r="A88" s="5" t="n">
        <v>87</v>
      </c>
      <c r="B88" s="5" t="n">
        <v>9</v>
      </c>
      <c r="C88" s="12" t="inlineStr">
        <is>
          <t>The sense of smell</t>
        </is>
      </c>
      <c r="D88" s="13" t="inlineStr">
        <is>
          <t>spe</t>
        </is>
      </c>
      <c r="E88" s="14" t="inlineStr">
        <is>
          <t>cial</t>
        </is>
      </c>
      <c r="F88" s="13">
        <f>D88&amp;E88</f>
        <v/>
      </c>
    </row>
    <row r="89">
      <c r="A89" s="5" t="n">
        <v>88</v>
      </c>
      <c r="B89" s="5" t="n">
        <v>9</v>
      </c>
      <c r="C89" s="12" t="inlineStr">
        <is>
          <t>The sense of smell</t>
        </is>
      </c>
      <c r="D89" s="13" t="inlineStr">
        <is>
          <t>th</t>
        </is>
      </c>
      <c r="E89" s="14" t="inlineStr">
        <is>
          <t>at</t>
        </is>
      </c>
      <c r="F89" s="13">
        <f>D89&amp;E89</f>
        <v/>
      </c>
    </row>
    <row r="90">
      <c r="A90" s="5" t="n">
        <v>89</v>
      </c>
      <c r="B90" s="5" t="n">
        <v>9</v>
      </c>
      <c r="C90" s="12" t="inlineStr">
        <is>
          <t>The sense of smell</t>
        </is>
      </c>
      <c r="D90" s="13" t="inlineStr">
        <is>
          <t>sig</t>
        </is>
      </c>
      <c r="E90" s="14" t="inlineStr">
        <is>
          <t>nals</t>
        </is>
      </c>
      <c r="F90" s="13">
        <f>D90&amp;E90</f>
        <v/>
      </c>
    </row>
    <row r="91">
      <c r="A91" s="5" t="n">
        <v>90</v>
      </c>
      <c r="B91" s="5" t="n">
        <v>9</v>
      </c>
      <c r="C91" s="12" t="inlineStr">
        <is>
          <t>The sense of smell</t>
        </is>
      </c>
      <c r="D91" s="13" t="inlineStr">
        <is>
          <t>br</t>
        </is>
      </c>
      <c r="E91" s="14" t="inlineStr">
        <is>
          <t>ain</t>
        </is>
      </c>
      <c r="F91" s="13">
        <f>D91&amp;E91</f>
        <v/>
      </c>
    </row>
    <row r="92">
      <c r="A92" s="15" t="n">
        <v>91</v>
      </c>
      <c r="B92" s="15" t="n">
        <v>10</v>
      </c>
      <c r="C92" s="16" t="inlineStr">
        <is>
          <t>How we decide</t>
        </is>
      </c>
      <c r="D92" s="17" t="inlineStr">
        <is>
          <t>Of</t>
        </is>
      </c>
      <c r="E92" s="18" t="inlineStr">
        <is>
          <t>ten</t>
        </is>
      </c>
      <c r="F92" s="17">
        <f>D92&amp;E92</f>
        <v/>
      </c>
    </row>
    <row r="93">
      <c r="A93" s="15" t="n">
        <v>92</v>
      </c>
      <c r="B93" s="15" t="n">
        <v>10</v>
      </c>
      <c r="C93" s="16" t="inlineStr">
        <is>
          <t>How we decide</t>
        </is>
      </c>
      <c r="D93" s="17" t="inlineStr">
        <is>
          <t>mi</t>
        </is>
      </c>
      <c r="E93" s="18" t="inlineStr">
        <is>
          <t>nd</t>
        </is>
      </c>
      <c r="F93" s="17">
        <f>D93&amp;E93</f>
        <v/>
      </c>
    </row>
    <row r="94">
      <c r="A94" s="15" t="n">
        <v>93</v>
      </c>
      <c r="B94" s="15" t="n">
        <v>10</v>
      </c>
      <c r="C94" s="16" t="inlineStr">
        <is>
          <t>How we decide</t>
        </is>
      </c>
      <c r="D94" s="17" t="inlineStr">
        <is>
          <t>shor</t>
        </is>
      </c>
      <c r="E94" s="18" t="inlineStr">
        <is>
          <t>tcuts</t>
        </is>
      </c>
      <c r="F94" s="17">
        <f>D94&amp;E94</f>
        <v/>
      </c>
    </row>
    <row r="95">
      <c r="A95" s="15" t="n">
        <v>94</v>
      </c>
      <c r="B95" s="15" t="n">
        <v>10</v>
      </c>
      <c r="C95" s="16" t="inlineStr">
        <is>
          <t>How we decide</t>
        </is>
      </c>
      <c r="D95" s="17" t="inlineStr">
        <is>
          <t>de</t>
        </is>
      </c>
      <c r="E95" s="18" t="inlineStr">
        <is>
          <t>cide</t>
        </is>
      </c>
      <c r="F95" s="17">
        <f>D95&amp;E95</f>
        <v/>
      </c>
    </row>
    <row r="96">
      <c r="A96" s="15" t="n">
        <v>95</v>
      </c>
      <c r="B96" s="15" t="n">
        <v>10</v>
      </c>
      <c r="C96" s="16" t="inlineStr">
        <is>
          <t>How we decide</t>
        </is>
      </c>
      <c r="D96" s="17" t="inlineStr">
        <is>
          <t>wit</t>
        </is>
      </c>
      <c r="E96" s="18" t="inlineStr">
        <is>
          <t>hout</t>
        </is>
      </c>
      <c r="F96" s="17">
        <f>D96&amp;E96</f>
        <v/>
      </c>
    </row>
    <row r="97">
      <c r="A97" s="15" t="n">
        <v>96</v>
      </c>
      <c r="B97" s="15" t="n">
        <v>10</v>
      </c>
      <c r="C97" s="16" t="inlineStr">
        <is>
          <t>How we decide</t>
        </is>
      </c>
      <c r="D97" s="17" t="inlineStr">
        <is>
          <t>ev</t>
        </is>
      </c>
      <c r="E97" s="18" t="inlineStr">
        <is>
          <t>ery</t>
        </is>
      </c>
      <c r="F97" s="17">
        <f>D97&amp;E97</f>
        <v/>
      </c>
    </row>
    <row r="98">
      <c r="A98" s="15" t="n">
        <v>97</v>
      </c>
      <c r="B98" s="15" t="n">
        <v>10</v>
      </c>
      <c r="C98" s="16" t="inlineStr">
        <is>
          <t>How we decide</t>
        </is>
      </c>
      <c r="D98" s="17" t="inlineStr">
        <is>
          <t>Th</t>
        </is>
      </c>
      <c r="E98" s="18" t="inlineStr">
        <is>
          <t>ese</t>
        </is>
      </c>
      <c r="F98" s="17">
        <f>D98&amp;E98</f>
        <v/>
      </c>
    </row>
    <row r="99">
      <c r="A99" s="15" t="n">
        <v>98</v>
      </c>
      <c r="B99" s="15" t="n">
        <v>10</v>
      </c>
      <c r="C99" s="16" t="inlineStr">
        <is>
          <t>How we decide</t>
        </is>
      </c>
      <c r="D99" s="17" t="inlineStr">
        <is>
          <t>sa</t>
        </is>
      </c>
      <c r="E99" s="18" t="inlineStr">
        <is>
          <t>ve</t>
        </is>
      </c>
      <c r="F99" s="17">
        <f>D99&amp;E99</f>
        <v/>
      </c>
    </row>
    <row r="100">
      <c r="A100" s="15" t="n">
        <v>99</v>
      </c>
      <c r="B100" s="15" t="n">
        <v>10</v>
      </c>
      <c r="C100" s="16" t="inlineStr">
        <is>
          <t>How we decide</t>
        </is>
      </c>
      <c r="D100" s="17" t="inlineStr">
        <is>
          <t>b</t>
        </is>
      </c>
      <c r="E100" s="18" t="inlineStr">
        <is>
          <t>ut</t>
        </is>
      </c>
      <c r="F100" s="17">
        <f>D100&amp;E100</f>
        <v/>
      </c>
    </row>
    <row r="101">
      <c r="A101" s="15" t="n">
        <v>100</v>
      </c>
      <c r="B101" s="15" t="n">
        <v>10</v>
      </c>
      <c r="C101" s="16" t="inlineStr">
        <is>
          <t>How we decide</t>
        </is>
      </c>
      <c r="D101" s="17" t="inlineStr">
        <is>
          <t>al</t>
        </is>
      </c>
      <c r="E101" s="18" t="inlineStr">
        <is>
          <t>so</t>
        </is>
      </c>
      <c r="F101" s="17">
        <f>D101&amp;E101</f>
        <v/>
      </c>
    </row>
  </sheetData>
  <autoFilter ref="A1:F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78" customWidth="1" min="4" max="4"/>
    <col width="78" customWidth="1" min="5" max="5"/>
  </cols>
  <sheetData>
    <row r="1" ht="28" customHeight="1">
      <c r="A1" s="3" t="inlineStr">
        <is>
          <t>Set</t>
        </is>
      </c>
      <c r="B1" s="3" t="inlineStr">
        <is>
          <t>Title</t>
        </is>
      </c>
      <c r="C1" s="3" t="inlineStr">
        <is>
          <t>Blanks</t>
        </is>
      </c>
      <c r="D1" s="3" t="inlineStr">
        <is>
          <t>Paragraph as shown</t>
        </is>
      </c>
      <c r="E1" s="3" t="inlineStr">
        <is>
          <t>Paragraph solved</t>
        </is>
      </c>
    </row>
    <row r="2" ht="108" customHeight="1">
      <c r="A2" s="5" t="n">
        <v>1</v>
      </c>
      <c r="B2" s="19" t="inlineStr">
        <is>
          <t>Rainforests</t>
        </is>
      </c>
      <c r="C2" s="5" t="inlineStr">
        <is>
          <t>1–10</t>
        </is>
      </c>
      <c r="D2" s="6" t="inlineStr">
        <is>
          <t>Rainforests are dense regions filled with tall trees and countless living things. Wa__ air a__ heavy ra__ create t__ ideal envi_______ for pl____ to gr__ all ye__. As le____ fall a__ decay, they return nutrients to the soil, supporting new life. Animals from insects to large cats depend on this balance for food and shelter. When large areas are cleared, the entire system weakens, and the forest struggles to recover.</t>
        </is>
      </c>
      <c r="E2" s="6" t="inlineStr">
        <is>
          <t>Rainforests are dense regions filled with tall trees and countless living things. Warm air and heavy rain create the ideal environment for plants to grow all year. As leaves fall and decay, they return nutrients to the soil, supporting new life. Animals from insects to large cats depend on this balance for food and shelter. When large areas are cleared, the entire system weakens, and the forest struggles to recover.</t>
        </is>
      </c>
    </row>
    <row r="3" ht="108" customHeight="1">
      <c r="A3" s="5" t="n">
        <v>2</v>
      </c>
      <c r="B3" s="19" t="inlineStr">
        <is>
          <t>The Moon's surface</t>
        </is>
      </c>
      <c r="C3" s="5" t="inlineStr">
        <is>
          <t>11–20</t>
        </is>
      </c>
      <c r="D3" s="6" t="inlineStr">
        <is>
          <t>The Moon appears bright because its surface reflects sunlight toward Earth. Over bil_____ of ye___, countless imp____ have cov____ it wi__ fine du__ and ro__ fragments. Th___ scars re____ unchanged bec____ the Moon has no wind or rain to wear them away. Scientists study the patterns of craters to learn how often objects hit our solar system. Each mark on its surface tells a small part of the Moon's long and silent history.</t>
        </is>
      </c>
      <c r="E3" s="6" t="inlineStr">
        <is>
          <t>The Moon appears bright because its surface reflects sunlight toward Earth. Over billions of years, countless impacts have covered it with fine dust and rock fragments. These scars remain unchanged because the Moon has no wind or rain to wear them away. Scientists study the patterns of craters to learn how often objects hit our solar system. Each mark on its surface tells a small part of the Moon's long and silent history.</t>
        </is>
      </c>
    </row>
    <row r="4" ht="108" customHeight="1">
      <c r="A4" s="5" t="n">
        <v>3</v>
      </c>
      <c r="B4" s="19" t="inlineStr">
        <is>
          <t>How sound travels</t>
        </is>
      </c>
      <c r="C4" s="5" t="inlineStr">
        <is>
          <t>21–30</t>
        </is>
      </c>
      <c r="D4" s="6" t="inlineStr">
        <is>
          <t>Sound travels as waves that move through air, water, or solid material. Wh__ something vib_____, it pu____ and pu___ nearby part_____, creating pat_____ of mot___ that o__ ears c__ detect. Fa____ vibrations make higher sounds, while slower ones produce deeper tones. The strength of these waves affects how loud the sound feels. Although invisible, sound connects people every day through voices, music, and the natural noises around us.</t>
        </is>
      </c>
      <c r="E4" s="6" t="inlineStr">
        <is>
          <t>Sound travels as waves that move through air, water, or solid material. When something vibrates, it pushes and pulls nearby particles, creating patterns of motion that our ears can detect. Faster vibrations make higher sounds, while slower ones produce deeper tones. The strength of these waves affects how loud the sound feels. Although invisible, sound connects people every day through voices, music, and the natural noises around us.</t>
        </is>
      </c>
    </row>
    <row r="5" ht="108" customHeight="1">
      <c r="A5" s="5" t="n">
        <v>4</v>
      </c>
      <c r="B5" s="19" t="inlineStr">
        <is>
          <t>Working in a team</t>
        </is>
      </c>
      <c r="C5" s="5" t="inlineStr">
        <is>
          <t>31–40</t>
        </is>
      </c>
      <c r="D5" s="6" t="inlineStr">
        <is>
          <t>Working in a team allows people to combine different skills and ideas. Wh__ members li____ and sh___ openly, pro_____ can be so____ more crea______. Trust bu____ as pe____ depend o_ one ano____ to complete tasks, and motivation often increases when goals are shared. Disagreements will happen, but respectful communication keeps progress steady and prevents small issues from growing. A strong team doesn't mean everyone thinks alike—it means they move forward together despite their differences.</t>
        </is>
      </c>
      <c r="E5" s="6" t="inlineStr">
        <is>
          <t>Working in a team allows people to combine different skills and ideas. When members listen and share openly, problems can be solved more creatively. Trust builds as people depend on one another to complete tasks, and motivation often increases when goals are shared. Disagreements will happen, but respectful communication keeps progress steady and prevents small issues from growing. A strong team doesn't mean everyone thinks alike—it means they move forward together despite their differences.</t>
        </is>
      </c>
    </row>
    <row r="6" ht="108" customHeight="1">
      <c r="A6" s="5" t="n">
        <v>5</v>
      </c>
      <c r="B6" s="19" t="inlineStr">
        <is>
          <t>Rivers</t>
        </is>
      </c>
      <c r="C6" s="5" t="inlineStr">
        <is>
          <t>41–50</t>
        </is>
      </c>
      <c r="D6" s="6" t="inlineStr">
        <is>
          <t>Rivers are always moving, shaping the land as they flow toward the sea. Ov__ time, wa___ wears aw__ rocks a__ soil, car____ valleys a__ creating n__ paths. Wh__ floods oc___, they c__ both damage land and deposit fresh layers of fertile earth. Towns often form along rivers because they offer water, travel routes, and trade. A river's constant motion reminds us that change in nature never truly stops.</t>
        </is>
      </c>
      <c r="E6" s="6" t="inlineStr">
        <is>
          <t>Rivers are always moving, shaping the land as they flow toward the sea. Over time, water wears away rocks and soil, carving valleys and creating new paths. When floods occur, they can both damage land and deposit fresh layers of fertile earth. Towns often form along rivers because they offer water, travel routes, and trade. A river's constant motion reminds us that change in nature never truly stops.</t>
        </is>
      </c>
    </row>
    <row r="7" ht="108" customHeight="1">
      <c r="A7" s="5" t="n">
        <v>6</v>
      </c>
      <c r="B7" s="19" t="inlineStr">
        <is>
          <t>Privacy online</t>
        </is>
      </c>
      <c r="C7" s="5" t="inlineStr">
        <is>
          <t>51–60</t>
        </is>
      </c>
      <c r="D7" s="6" t="inlineStr">
        <is>
          <t>The rise of the internet has made sharing information easier than ever before. Ea__ time w_ browse, po__, or sh__ online, o__ data le____ a dig____ trace. Comp_____ use th__ information to imp____ services or advertise products, but it also raises concerns about privacy. Learning how to manage passwords, settings, and permissions helps people protect their personal information. In a connected world, privacy depends as much on awareness as on technology.</t>
        </is>
      </c>
      <c r="E7" s="6" t="inlineStr">
        <is>
          <t>The rise of the internet has made sharing information easier than ever before. Each time we browse, post, or shop online, our data leaves a digital trace. Companies use this information to improve services or advertise products, but it also raises concerns about privacy. Learning how to manage passwords, settings, and permissions helps people protect their personal information. In a connected world, privacy depends as much on awareness as on technology.</t>
        </is>
      </c>
    </row>
    <row r="8" ht="108" customHeight="1">
      <c r="A8" s="5" t="n">
        <v>7</v>
      </c>
      <c r="B8" s="19" t="inlineStr">
        <is>
          <t>Living in a new culture</t>
        </is>
      </c>
      <c r="C8" s="5" t="inlineStr">
        <is>
          <t>61–70</t>
        </is>
      </c>
      <c r="D8" s="6" t="inlineStr">
        <is>
          <t>Moving to a new country often forces people to rethink how they express themselves. Beha_____ that fe__ natural i_ one cul____, such a_ how cl___ to st___ or wh__ to sp___, can se__ unusual in another. At first, these differences may cause confusion or even embarrassment, but over time they teach flexibility. People who learn to notice subtle social cues often discover that understanding others more clearly also changes how they see themselves.</t>
        </is>
      </c>
      <c r="E8" s="6" t="inlineStr">
        <is>
          <t>Moving to a new country often forces people to rethink how they express themselves. Behaviors that feel natural in one culture, such as how close to stand or when to speak, can seem unusual in another. At first, these differences may cause confusion or even embarrassment, but over time they teach flexibility. People who learn to notice subtle social cues often discover that understanding others more clearly also changes how they see themselves.</t>
        </is>
      </c>
    </row>
    <row r="9" ht="108" customHeight="1">
      <c r="A9" s="5" t="n">
        <v>8</v>
      </c>
      <c r="B9" s="19" t="inlineStr">
        <is>
          <t>From hunting to farming</t>
        </is>
      </c>
      <c r="C9" s="5" t="inlineStr">
        <is>
          <t>71–80</t>
        </is>
      </c>
      <c r="D9" s="6" t="inlineStr">
        <is>
          <t>The shift from hunting to farming transformed early human life. Pe____ began pla_____ seeds a__ raising ani____ instead o_ moving cons______ in se____ of fo__. With rel_____ harvests, vil_____ grew, and families could settle in one place. This stability encouraged cooperation and the exchange of ideas among neighbors. Over time, farming not only provided food but also created the foundations for organized society and cultural progress.</t>
        </is>
      </c>
      <c r="E9" s="6" t="inlineStr">
        <is>
          <t>The shift from hunting to farming transformed early human life. People began planting seeds and raising animals instead of moving constantly in search of food. With reliable harvests, villages grew, and families could settle in one place. This stability encouraged cooperation and the exchange of ideas among neighbors. Over time, farming not only provided food but also created the foundations for organized society and cultural progress.</t>
        </is>
      </c>
    </row>
    <row r="10" ht="108" customHeight="1">
      <c r="A10" s="5" t="n">
        <v>9</v>
      </c>
      <c r="B10" s="19" t="inlineStr">
        <is>
          <t>The sense of smell</t>
        </is>
      </c>
      <c r="C10" s="5" t="inlineStr">
        <is>
          <t>81–90</t>
        </is>
      </c>
      <c r="D10" s="6" t="inlineStr">
        <is>
          <t>Our sense of smell allows us to detect thousands of different scents. Wh__ we bre____ in, ti__ molecules tr____ through t__ nose a__ reach spe____ cells th__ send sig____ to the br___. Smell can trigger memories, emotions, and even hunger in an instant. Because of this close link to memory, a familiar scent can make someone recall a person or place from years ago. Scientists continue to study smell to understand how it influences behavior and emotional well-being in everyday life.</t>
        </is>
      </c>
      <c r="E10" s="6" t="inlineStr">
        <is>
          <t>Our sense of smell allows us to detect thousands of different scents. When we breathe in, tiny molecules travel through the nose and reach special cells that send signals to the brain. Smell can trigger memories, emotions, and even hunger in an instant. Because of this close link to memory, a familiar scent can make someone recall a person or place from years ago. Scientists continue to study smell to understand how it influences behavior and emotional well-being in everyday life.</t>
        </is>
      </c>
    </row>
    <row r="11" ht="108" customHeight="1">
      <c r="A11" s="5" t="n">
        <v>10</v>
      </c>
      <c r="B11" s="19" t="inlineStr">
        <is>
          <t>How we decide</t>
        </is>
      </c>
      <c r="C11" s="5" t="inlineStr">
        <is>
          <t>91–100</t>
        </is>
      </c>
      <c r="D11" s="6" t="inlineStr">
        <is>
          <t>People make countless decisions every day, from simple choices to major life plans. Of___, the mi__ uses shor_____ to de____ quickly wit____ analyzing ev___ detail. Th___ shortcuts sa__ time b__ can al__ lead to mistakes when emotions take over. Slowing down and considering different viewpoints helps create more balanced decisions. Over time, experience teaches people when to trust their instincts and when to pause for deeper thought. Good judgment is not about speed—it's about matching action to the situation.</t>
        </is>
      </c>
      <c r="E11" s="6" t="inlineStr">
        <is>
          <t>People make countless decisions every day, from simple choices to major life plans. Often, the mind uses shortcuts to decide quickly without analyzing every detail. These shortcuts save time but can also lead to mistakes when emotions take over. Slowing down and considering different viewpoints helps create more balanced decisions. Over time, experience teaches people when to trust their instincts and when to pause for deeper thought. Good judgment is not about speed—it's about matching action to the situation.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showGridLines="0"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2" customWidth="1" min="4" max="4"/>
    <col width="17" customWidth="1" min="5" max="5"/>
    <col width="46" customWidth="1" min="6" max="6"/>
    <col width="38" customWidth="1" min="7" max="7"/>
    <col width="38" customWidth="1" min="8" max="8"/>
    <col width="38" customWidth="1" min="9" max="9"/>
    <col width="38" customWidth="1" min="10" max="10"/>
    <col width="6" customWidth="1" min="11" max="11"/>
    <col width="40" customWidth="1" min="12" max="12"/>
    <col width="86" customWidth="1" min="13" max="13"/>
  </cols>
  <sheetData>
    <row r="1" ht="28" customHeight="1">
      <c r="A1" s="3" t="inlineStr">
        <is>
          <t>#</t>
        </is>
      </c>
      <c r="B1" s="3" t="inlineStr">
        <is>
          <t>Set</t>
        </is>
      </c>
      <c r="C1" s="3" t="inlineStr">
        <is>
          <t>Passage</t>
        </is>
      </c>
      <c r="D1" s="3" t="inlineStr">
        <is>
          <t>Format</t>
        </is>
      </c>
      <c r="E1" s="3" t="inlineStr">
        <is>
          <t>Question type</t>
        </is>
      </c>
      <c r="F1" s="3" t="inlineStr">
        <is>
          <t>Question</t>
        </is>
      </c>
      <c r="G1" s="3" t="inlineStr">
        <is>
          <t>A</t>
        </is>
      </c>
      <c r="H1" s="3" t="inlineStr">
        <is>
          <t>B</t>
        </is>
      </c>
      <c r="I1" s="3" t="inlineStr">
        <is>
          <t>C</t>
        </is>
      </c>
      <c r="J1" s="3" t="inlineStr">
        <is>
          <t>D</t>
        </is>
      </c>
      <c r="K1" s="3" t="inlineStr">
        <is>
          <t>Key</t>
        </is>
      </c>
      <c r="L1" s="3" t="inlineStr">
        <is>
          <t>Correct answer</t>
        </is>
      </c>
      <c r="M1" s="3" t="inlineStr">
        <is>
          <t>Explanation</t>
        </is>
      </c>
    </row>
    <row r="2" ht="76" customHeight="1">
      <c r="A2" s="5" t="n">
        <v>101</v>
      </c>
      <c r="B2" s="5" t="n">
        <v>1</v>
      </c>
      <c r="C2" s="6" t="inlineStr">
        <is>
          <t>Textbook Collection Reminder</t>
        </is>
      </c>
      <c r="D2" s="6" t="inlineStr">
        <is>
          <t>email</t>
        </is>
      </c>
      <c r="E2" s="6" t="inlineStr">
        <is>
          <t>detail</t>
        </is>
      </c>
      <c r="F2" s="6" t="inlineStr">
        <is>
          <t>What will happen if students return their books after December 18?</t>
        </is>
      </c>
      <c r="G2" s="6" t="inlineStr">
        <is>
          <t>Their grades may be affected.</t>
        </is>
      </c>
      <c r="H2" s="6" t="inlineStr">
        <is>
          <t>They will lose the right to rent again.</t>
        </is>
      </c>
      <c r="I2" s="6" t="inlineStr">
        <is>
          <t>They must pay the full price of the book.</t>
        </is>
      </c>
      <c r="J2" s="6" t="inlineStr">
        <is>
          <t>They will receive a fine.</t>
        </is>
      </c>
      <c r="K2" s="20" t="inlineStr">
        <is>
          <t>D</t>
        </is>
      </c>
      <c r="L2" s="21">
        <f>INDEX(G2:J2,MATCH(K2,$G$1:$J$1,0))</f>
        <v/>
      </c>
      <c r="M2" s="6" t="inlineStr">
        <is>
          <t>D is correct because the email clearly states, “Late returns will result in a small fine.” That means students who return books after December 18 will have to pay a fee. Option A is incorrect because the message never connects late returns to students' grades. Option B is unsupported since there's no mention of losing rental privileges. Option C is also wrong because students won't be charged the full price of the book, only a fine.</t>
        </is>
      </c>
    </row>
    <row r="3" ht="76" customHeight="1">
      <c r="A3" s="5" t="n">
        <v>102</v>
      </c>
      <c r="B3" s="5" t="n">
        <v>1</v>
      </c>
      <c r="C3" s="6" t="inlineStr">
        <is>
          <t>Textbook Collection Reminder</t>
        </is>
      </c>
      <c r="D3" s="6" t="inlineStr">
        <is>
          <t>email</t>
        </is>
      </c>
      <c r="E3" s="6" t="inlineStr">
        <is>
          <t>inference</t>
        </is>
      </c>
      <c r="F3" s="6" t="inlineStr">
        <is>
          <t>What can be inferred about the bookstore's policy?</t>
        </is>
      </c>
      <c r="G3" s="6" t="inlineStr">
        <is>
          <t>It has not experienced a late return before.</t>
        </is>
      </c>
      <c r="H3" s="6" t="inlineStr">
        <is>
          <t>It allows communication before the deadline.</t>
        </is>
      </c>
      <c r="I3" s="6" t="inlineStr">
        <is>
          <t>It rents books and does not sell them outright.</t>
        </is>
      </c>
      <c r="J3" s="6" t="inlineStr">
        <is>
          <t>It will be closed after December 18th for the holiday season.</t>
        </is>
      </c>
      <c r="K3" s="20" t="inlineStr">
        <is>
          <t>B</t>
        </is>
      </c>
      <c r="L3" s="21">
        <f>INDEX(G3:J3,MATCH(K3,$G$1:$J$1,0))</f>
        <v/>
      </c>
      <c r="M3" s="6" t="inlineStr">
        <is>
          <t>B is correct because the message says that students who have lost a book should “email the bookstore for instructions before the deadline,” showing that communication before the due date is part of the policy. Option A is incorrect because nothing in the email suggests this is the first time the bookstore has handled late returns. Option C is not supported. The message only talks about rented books, not sales. Option D is also incorrect since the announcement never mentions the bookstore closing for holidays.</t>
        </is>
      </c>
    </row>
    <row r="4" ht="76" customHeight="1">
      <c r="A4" s="15" t="n">
        <v>103</v>
      </c>
      <c r="B4" s="15" t="n">
        <v>2</v>
      </c>
      <c r="C4" s="22" t="inlineStr">
        <is>
          <t>Office Parking Update</t>
        </is>
      </c>
      <c r="D4" s="22" t="inlineStr">
        <is>
          <t>email</t>
        </is>
      </c>
      <c r="E4" s="22" t="inlineStr">
        <is>
          <t>purpose</t>
        </is>
      </c>
      <c r="F4" s="22" t="inlineStr">
        <is>
          <t>What is the main purpose of this email?</t>
        </is>
      </c>
      <c r="G4" s="22" t="inlineStr">
        <is>
          <t>To request feedback on the new visitor parking policies</t>
        </is>
      </c>
      <c r="H4" s="22" t="inlineStr">
        <is>
          <t>To inform employees about a new parking arrangement</t>
        </is>
      </c>
      <c r="I4" s="22" t="inlineStr">
        <is>
          <t>To announce the cancellation of parking passes for the lot behind Building B</t>
        </is>
      </c>
      <c r="J4" s="22" t="inlineStr">
        <is>
          <t>To remind staff to have their entry passes ready for security staff</t>
        </is>
      </c>
      <c r="K4" s="23" t="inlineStr">
        <is>
          <t>B</t>
        </is>
      </c>
      <c r="L4" s="24">
        <f>INDEX(G4:J4,MATCH(K4,$G$1:$J$1,0))</f>
        <v/>
      </c>
      <c r="M4" s="22" t="inlineStr">
        <is>
          <t>B is correct because the email explains that the main lot will be “reserved for visitors only” and that employees should park behind Building B, making the purpose to inform staff of a new parking arrangement. Option A is incorrect because it doesn't ask for feedback, only compliance. Option C is wrong—there's no cancellation of passes. Option D is partly related, as the message mentions security checks, but that's not the central purpose of the email.</t>
        </is>
      </c>
    </row>
    <row r="5" ht="76" customHeight="1">
      <c r="A5" s="15" t="n">
        <v>104</v>
      </c>
      <c r="B5" s="15" t="n">
        <v>2</v>
      </c>
      <c r="C5" s="22" t="inlineStr">
        <is>
          <t>Office Parking Update</t>
        </is>
      </c>
      <c r="D5" s="22" t="inlineStr">
        <is>
          <t>email</t>
        </is>
      </c>
      <c r="E5" s="22" t="inlineStr">
        <is>
          <t>inference</t>
        </is>
      </c>
      <c r="F5" s="22" t="inlineStr">
        <is>
          <t>What can be inferred about next week's parking procedures?</t>
        </is>
      </c>
      <c r="G5" s="22" t="inlineStr">
        <is>
          <t>Employees will be allowed to park anywhere</t>
        </is>
      </c>
      <c r="H5" s="22" t="inlineStr">
        <is>
          <t>Visitors will need to park behind Building B</t>
        </is>
      </c>
      <c r="I5" s="22" t="inlineStr">
        <is>
          <t>Parking passes will be verified more closely than before</t>
        </is>
      </c>
      <c r="J5" s="22" t="inlineStr">
        <is>
          <t>The parking policy will return to normal after one week</t>
        </is>
      </c>
      <c r="K5" s="23" t="inlineStr">
        <is>
          <t>C</t>
        </is>
      </c>
      <c r="L5" s="24">
        <f>INDEX(G5:J5,MATCH(K5,$G$1:$J$1,0))</f>
        <v/>
      </c>
      <c r="M5" s="22" t="inlineStr">
        <is>
          <t>C is correct because the email notes that “Security staff will be checking passes at the gate during the first week of this change,” implying closer monitoring than before. Option A is incorrect since employees are told exactly where to park. Option B reverses the facts. Visitors, not employees, will use the main lot. Option D is also incorrect; nothing suggests the policy will last only one week.</t>
        </is>
      </c>
    </row>
    <row r="6" ht="76" customHeight="1">
      <c r="A6" s="5" t="n">
        <v>105</v>
      </c>
      <c r="B6" s="5" t="n">
        <v>3</v>
      </c>
      <c r="C6" s="6" t="inlineStr">
        <is>
          <t>Staff Training Confirmation</t>
        </is>
      </c>
      <c r="D6" s="6" t="inlineStr">
        <is>
          <t>email</t>
        </is>
      </c>
      <c r="E6" s="6" t="inlineStr">
        <is>
          <t>purpose</t>
        </is>
      </c>
      <c r="F6" s="6" t="inlineStr">
        <is>
          <t>What is the main purpose of this email?</t>
        </is>
      </c>
      <c r="G6" s="6" t="inlineStr">
        <is>
          <t>To ask Ms. Forester to refrain from bringing outside food or drinks</t>
        </is>
      </c>
      <c r="H6" s="6" t="inlineStr">
        <is>
          <t>To announce a change in room location</t>
        </is>
      </c>
      <c r="I6" s="6" t="inlineStr">
        <is>
          <t>To remind Ms. Forester to bring her ID badge</t>
        </is>
      </c>
      <c r="J6" s="6" t="inlineStr">
        <is>
          <t>To confirm a registration for training</t>
        </is>
      </c>
      <c r="K6" s="20" t="inlineStr">
        <is>
          <t>D</t>
        </is>
      </c>
      <c r="L6" s="21">
        <f>INDEX(G6:J6,MATCH(K6,$G$1:$J$1,0))</f>
        <v/>
      </c>
      <c r="M6" s="6" t="inlineStr">
        <is>
          <t>D is correct because the email opens with, “Your registration for the customer service training on August 10 has been confirmed,” clearly identifying its purpose as a registration confirmation. Option A is incorrect because there's no mention of food restrictions. Option B is wrong because the room location, Conference Room 3, is already final. Option C is partly true since the email does remind Ms. Forester to bring her ID badge, but that's only one detail, not the main message.</t>
        </is>
      </c>
    </row>
    <row r="7" ht="76" customHeight="1">
      <c r="A7" s="5" t="n">
        <v>106</v>
      </c>
      <c r="B7" s="5" t="n">
        <v>3</v>
      </c>
      <c r="C7" s="6" t="inlineStr">
        <is>
          <t>Staff Training Confirmation</t>
        </is>
      </c>
      <c r="D7" s="6" t="inlineStr">
        <is>
          <t>email</t>
        </is>
      </c>
      <c r="E7" s="6" t="inlineStr">
        <is>
          <t>negative fact</t>
        </is>
      </c>
      <c r="F7" s="6" t="inlineStr">
        <is>
          <t>Which of the following is NOT true according to the email?</t>
        </is>
      </c>
      <c r="G7" s="6" t="inlineStr">
        <is>
          <t>Participants need to bring an ID badge.</t>
        </is>
      </c>
      <c r="H7" s="6" t="inlineStr">
        <is>
          <t>The training will take place in Conference Room 3.</t>
        </is>
      </c>
      <c r="I7" s="6" t="inlineStr">
        <is>
          <t>Lunch will be provided during the session.</t>
        </is>
      </c>
      <c r="J7" s="6" t="inlineStr">
        <is>
          <t>Refreshments will be available.</t>
        </is>
      </c>
      <c r="K7" s="20" t="inlineStr">
        <is>
          <t>C</t>
        </is>
      </c>
      <c r="L7" s="21">
        <f>INDEX(G7:J7,MATCH(K7,$G$1:$J$1,0))</f>
        <v/>
      </c>
      <c r="M7" s="6" t="inlineStr">
        <is>
          <t>C is correct because the message says, “Refreshments will be provided, but lunch is not included,” so it's false to say lunch will be provided. Option A is true since participants are told to bring an ID badge. Option B is also true because the session is in Conference Room 3. Option D is confirmed in the same sentence about refreshments.</t>
        </is>
      </c>
    </row>
    <row r="8" ht="76" customHeight="1">
      <c r="A8" s="15" t="n">
        <v>107</v>
      </c>
      <c r="B8" s="15" t="n">
        <v>4</v>
      </c>
      <c r="C8" s="22" t="inlineStr">
        <is>
          <t>Building C Elevator Service</t>
        </is>
      </c>
      <c r="D8" s="22" t="inlineStr">
        <is>
          <t>notice</t>
        </is>
      </c>
      <c r="E8" s="22" t="inlineStr">
        <is>
          <t>detail</t>
        </is>
      </c>
      <c r="F8" s="22" t="inlineStr">
        <is>
          <t>Why will the elevator in Building C be unavailable?</t>
        </is>
      </c>
      <c r="G8" s="22" t="inlineStr">
        <is>
          <t>It will undergo a safety inspection.</t>
        </is>
      </c>
      <c r="H8" s="22" t="inlineStr">
        <is>
          <t>It will be replaced with a newer model.</t>
        </is>
      </c>
      <c r="I8" s="22" t="inlineStr">
        <is>
          <t>It will be inspected and painted.</t>
        </is>
      </c>
      <c r="J8" s="22" t="inlineStr">
        <is>
          <t>It will have a light tune-up on the motor.</t>
        </is>
      </c>
      <c r="K8" s="23" t="inlineStr">
        <is>
          <t>A</t>
        </is>
      </c>
      <c r="L8" s="24">
        <f>INDEX(G8:J8,MATCH(K8,$G$1:$J$1,0))</f>
        <v/>
      </c>
      <c r="M8" s="22" t="inlineStr">
        <is>
          <t>A is correct because the notice explains that the elevator will be out of service “for a full safety inspection and routine maintenance.” Option B is incorrect since there's no mention of replacement. Option C introduces painting, which isn't mentioned, and option D minimizes the scope. It's more than a “light tune-up.”</t>
        </is>
      </c>
    </row>
    <row r="9" ht="76" customHeight="1">
      <c r="A9" s="15" t="n">
        <v>108</v>
      </c>
      <c r="B9" s="15" t="n">
        <v>4</v>
      </c>
      <c r="C9" s="22" t="inlineStr">
        <is>
          <t>Building C Elevator Service</t>
        </is>
      </c>
      <c r="D9" s="22" t="inlineStr">
        <is>
          <t>notice</t>
        </is>
      </c>
      <c r="E9" s="22" t="inlineStr">
        <is>
          <t>detail</t>
        </is>
      </c>
      <c r="F9" s="22" t="inlineStr">
        <is>
          <t>What should employees who work on upper floors do on June 12?</t>
        </is>
      </c>
      <c r="G9" s="22" t="inlineStr">
        <is>
          <t>Wait until the inspection ends before returning to work</t>
        </is>
      </c>
      <c r="H9" s="22" t="inlineStr">
        <is>
          <t>Use Building D to reach their offices</t>
        </is>
      </c>
      <c r="I9" s="22" t="inlineStr">
        <is>
          <t>Try the functioning elevator in Building C</t>
        </is>
      </c>
      <c r="J9" s="22" t="inlineStr">
        <is>
          <t>Follow the signs up the stairs to their offices</t>
        </is>
      </c>
      <c r="K9" s="23" t="inlineStr">
        <is>
          <t>B</t>
        </is>
      </c>
      <c r="L9" s="24">
        <f>INDEX(G9:J9,MATCH(K9,$G$1:$J$1,0))</f>
        <v/>
      </c>
      <c r="M9" s="22" t="inlineStr">
        <is>
          <t>B is correct because the announcement advises staff to “use the stairs or access Building D, which has a functioning elevator.” Option A is incorrect because employees are expected to keep working, not wait for repairs. Option C is wrong because the Building C elevator will not be functioning that day. Option D misinterprets the signs; they're simply for directions, not an instruction to “follow signs up the stairs.”</t>
        </is>
      </c>
    </row>
    <row r="10" ht="76" customHeight="1">
      <c r="A10" s="5" t="n">
        <v>109</v>
      </c>
      <c r="B10" s="5" t="n">
        <v>5</v>
      </c>
      <c r="C10" s="6" t="inlineStr">
        <is>
          <t>Customer Service Hotline Hours</t>
        </is>
      </c>
      <c r="D10" s="6" t="inlineStr">
        <is>
          <t>notice</t>
        </is>
      </c>
      <c r="E10" s="6" t="inlineStr">
        <is>
          <t>detail</t>
        </is>
      </c>
      <c r="F10" s="6" t="inlineStr">
        <is>
          <t>What change will occur starting October 3?</t>
        </is>
      </c>
      <c r="G10" s="6" t="inlineStr">
        <is>
          <t>Representatives will start working full-time.</t>
        </is>
      </c>
      <c r="H10" s="6" t="inlineStr">
        <is>
          <t>Sunday service will become available.</t>
        </is>
      </c>
      <c r="I10" s="6" t="inlineStr">
        <is>
          <t>Customer support will move online during business hours.</t>
        </is>
      </c>
      <c r="J10" s="6" t="inlineStr">
        <is>
          <t>The hotline will stay open one hour later each evening.</t>
        </is>
      </c>
      <c r="K10" s="20" t="inlineStr">
        <is>
          <t>D</t>
        </is>
      </c>
      <c r="L10" s="21">
        <f>INDEX(G10:J10,MATCH(K10,$G$1:$J$1,0))</f>
        <v/>
      </c>
      <c r="M10" s="6" t="inlineStr">
        <is>
          <t>D is correct because the notice states, “the schedule has been extended by one hour each evening,” meaning the hotline will stay open one hour later starting October 3. Option A is incorrect because it doesn't mention full-time status. Option B is wrong because Sunday service remains unavailable. Option C is also incorrect since online help is offered outside business hours.</t>
        </is>
      </c>
    </row>
    <row r="11" ht="76" customHeight="1">
      <c r="A11" s="5" t="n">
        <v>110</v>
      </c>
      <c r="B11" s="5" t="n">
        <v>5</v>
      </c>
      <c r="C11" s="6" t="inlineStr">
        <is>
          <t>Customer Service Hotline Hours</t>
        </is>
      </c>
      <c r="D11" s="6" t="inlineStr">
        <is>
          <t>notice</t>
        </is>
      </c>
      <c r="E11" s="6" t="inlineStr">
        <is>
          <t>detail</t>
        </is>
      </c>
      <c r="F11" s="6" t="inlineStr">
        <is>
          <t>Why are customers encouraged to use the online help form?</t>
        </is>
      </c>
      <c r="G11" s="6" t="inlineStr">
        <is>
          <t>It is required for all technical issues.</t>
        </is>
      </c>
      <c r="H11" s="6" t="inlineStr">
        <is>
          <t>It provides faster responses than phone support.</t>
        </is>
      </c>
      <c r="I11" s="6" t="inlineStr">
        <is>
          <t>It can be accessed when the hotline is closed.</t>
        </is>
      </c>
      <c r="J11" s="6" t="inlineStr">
        <is>
          <t>It replaces phone support during business hours.</t>
        </is>
      </c>
      <c r="K11" s="20" t="inlineStr">
        <is>
          <t>C</t>
        </is>
      </c>
      <c r="L11" s="21">
        <f>INDEX(G11:J11,MATCH(K11,$G$1:$J$1,0))</f>
        <v/>
      </c>
      <c r="M11" s="6" t="inlineStr">
        <is>
          <t>C is correct because the announcement says customers can use the online form “outside business hours,” meaning it's available when the hotline is closed. Option A is incorrect because customers aren't required to use the form for all issues. Option B is unsupported; there's no claim it's faster. Option D is also wrong since phone support still operates during business hours.</t>
        </is>
      </c>
    </row>
    <row r="12" ht="76" customHeight="1">
      <c r="A12" s="15" t="n">
        <v>111</v>
      </c>
      <c r="B12" s="15" t="n">
        <v>6</v>
      </c>
      <c r="C12" s="22" t="inlineStr">
        <is>
          <t>Open-House Volunteer Schedule</t>
        </is>
      </c>
      <c r="D12" s="22" t="inlineStr">
        <is>
          <t>chat</t>
        </is>
      </c>
      <c r="E12" s="22" t="inlineStr">
        <is>
          <t>purpose</t>
        </is>
      </c>
      <c r="F12" s="22" t="inlineStr">
        <is>
          <t>What is the main purpose of the messages?</t>
        </is>
      </c>
      <c r="G12" s="22" t="inlineStr">
        <is>
          <t>To assign volunteers for a campus event</t>
        </is>
      </c>
      <c r="H12" s="22" t="inlineStr">
        <is>
          <t>To choose a location for the open house</t>
        </is>
      </c>
      <c r="I12" s="22" t="inlineStr">
        <is>
          <t>To invite students to volunteer for an open house event</t>
        </is>
      </c>
      <c r="J12" s="22" t="inlineStr">
        <is>
          <t>To announce a change to the volunteering participants</t>
        </is>
      </c>
      <c r="K12" s="23" t="inlineStr">
        <is>
          <t>A</t>
        </is>
      </c>
      <c r="L12" s="24">
        <f>INDEX(G12:J12,MATCH(K12,$G$1:$J$1,0))</f>
        <v/>
      </c>
      <c r="M12" s="22" t="inlineStr">
        <is>
          <t>A is correct because the entire exchange revolves around confirming and assigning volunteers for the campus open-house event. Priya organizes shifts, Jun confirms his group, and Marco volunteers to train others. Option B is incorrect because they already have a location. Option C is wrong because no one is inviting new volunteers. Option D is also incorrect since the team isn't changing participants, just finalizing plans.</t>
        </is>
      </c>
    </row>
    <row r="13" ht="76" customHeight="1">
      <c r="A13" s="15" t="n">
        <v>112</v>
      </c>
      <c r="B13" s="15" t="n">
        <v>6</v>
      </c>
      <c r="C13" s="22" t="inlineStr">
        <is>
          <t>Open-House Volunteer Schedule</t>
        </is>
      </c>
      <c r="D13" s="22" t="inlineStr">
        <is>
          <t>chat</t>
        </is>
      </c>
      <c r="E13" s="22" t="inlineStr">
        <is>
          <t>inference</t>
        </is>
      </c>
      <c r="F13" s="22" t="inlineStr">
        <is>
          <t>What can be inferred about last semester's event?</t>
        </is>
      </c>
      <c r="G13" s="22" t="inlineStr">
        <is>
          <t>The app training took too long</t>
        </is>
      </c>
      <c r="H13" s="22" t="inlineStr">
        <is>
          <t>The visitor check-in system did not work smoothly</t>
        </is>
      </c>
      <c r="I13" s="22" t="inlineStr">
        <is>
          <t>There were not enough volunteers available</t>
        </is>
      </c>
      <c r="J13" s="22" t="inlineStr">
        <is>
          <t>Few visitors came to the event</t>
        </is>
      </c>
      <c r="K13" s="23" t="inlineStr">
        <is>
          <t>B</t>
        </is>
      </c>
      <c r="L13" s="24">
        <f>INDEX(G13:J13,MATCH(K13,$G$1:$J$1,0))</f>
        <v/>
      </c>
      <c r="M13" s="22" t="inlineStr">
        <is>
          <t>B is correct because Priya says Marco's demo “should prevent the confusion we had at last semester's event,” implying that the visitor check-in system didn't run smoothly last time. Option A is incorrect; there's no sign the training was too long. Option C is unsupported. Everyone seems to have enough help. Option D is false because the issue was confusion, not low attendance.</t>
        </is>
      </c>
    </row>
    <row r="14" ht="76" customHeight="1">
      <c r="A14" s="15" t="n">
        <v>113</v>
      </c>
      <c r="B14" s="15" t="n">
        <v>6</v>
      </c>
      <c r="C14" s="22" t="inlineStr">
        <is>
          <t>Open-House Volunteer Schedule</t>
        </is>
      </c>
      <c r="D14" s="22" t="inlineStr">
        <is>
          <t>chat</t>
        </is>
      </c>
      <c r="E14" s="22" t="inlineStr">
        <is>
          <t>detail</t>
        </is>
      </c>
      <c r="F14" s="22" t="inlineStr">
        <is>
          <t>According to the messages, who will demonstrate how to use the check-in app?</t>
        </is>
      </c>
      <c r="G14" s="22" t="inlineStr">
        <is>
          <t>Mimi</t>
        </is>
      </c>
      <c r="H14" s="22" t="inlineStr">
        <is>
          <t>Jun</t>
        </is>
      </c>
      <c r="I14" s="22" t="inlineStr">
        <is>
          <t>Marco</t>
        </is>
      </c>
      <c r="J14" s="22" t="inlineStr">
        <is>
          <t>Priya</t>
        </is>
      </c>
      <c r="K14" s="23" t="inlineStr">
        <is>
          <t>C</t>
        </is>
      </c>
      <c r="L14" s="24">
        <f>INDEX(G14:J14,MATCH(K14,$G$1:$J$1,0))</f>
        <v/>
      </c>
      <c r="M14" s="22" t="inlineStr">
        <is>
          <t>C is correct because Marco explicitly says, “I can run a quick demo session tomorrow morning to show everyone how the app works.” Option A is incorrect. Mimi manages sign-ups, not training. Option B is wrong since Jun only confirmed volunteers. Option D is incorrect because Priya oversees coordination but doesn't handle app demonstrations.</t>
        </is>
      </c>
    </row>
    <row r="15" ht="76" customHeight="1">
      <c r="A15" s="5" t="n">
        <v>114</v>
      </c>
      <c r="B15" s="5" t="n">
        <v>7</v>
      </c>
      <c r="C15" s="6" t="inlineStr">
        <is>
          <t>EcoBlend Shipment Delay</t>
        </is>
      </c>
      <c r="D15" s="6" t="inlineStr">
        <is>
          <t>chat</t>
        </is>
      </c>
      <c r="E15" s="6" t="inlineStr">
        <is>
          <t>main idea</t>
        </is>
      </c>
      <c r="F15" s="6" t="inlineStr">
        <is>
          <t>What is Olga's main concern in these messages?</t>
        </is>
      </c>
      <c r="G15" s="6" t="inlineStr">
        <is>
          <t>Designing a new product that suppliers can deliver on time</t>
        </is>
      </c>
      <c r="H15" s="6" t="inlineStr">
        <is>
          <t>Preventing customer confusion about late orders</t>
        </is>
      </c>
      <c r="I15" s="6" t="inlineStr">
        <is>
          <t>Losing contact with the supplier</t>
        </is>
      </c>
      <c r="J15" s="6" t="inlineStr">
        <is>
          <t>Finding ways to email clients about social media pages</t>
        </is>
      </c>
      <c r="K15" s="20" t="inlineStr">
        <is>
          <t>B</t>
        </is>
      </c>
      <c r="L15" s="21">
        <f>INDEX(G15:J15,MATCH(K15,$G$1:$J$1,0))</f>
        <v/>
      </c>
      <c r="M15" s="6" t="inlineStr">
        <is>
          <t>B is correct because Olga's main concern is keeping customers informed and avoiding “the confusion we had during last month's delay.” She wants clear updates about the late orders. Option A is incorrect because she's not designing a new product. Option C is wrong since contact with the supplier is already established. Option D misreads the situation. Emails and social media updates are separate actions, not the same.</t>
        </is>
      </c>
    </row>
    <row r="16" ht="76" customHeight="1">
      <c r="A16" s="5" t="n">
        <v>115</v>
      </c>
      <c r="B16" s="5" t="n">
        <v>7</v>
      </c>
      <c r="C16" s="6" t="inlineStr">
        <is>
          <t>EcoBlend Shipment Delay</t>
        </is>
      </c>
      <c r="D16" s="6" t="inlineStr">
        <is>
          <t>chat</t>
        </is>
      </c>
      <c r="E16" s="6" t="inlineStr">
        <is>
          <t>detail</t>
        </is>
      </c>
      <c r="F16" s="6" t="inlineStr">
        <is>
          <t>According to the messages, when will the shipment now arrive?</t>
        </is>
      </c>
      <c r="G16" s="6" t="inlineStr">
        <is>
          <t>Thursday</t>
        </is>
      </c>
      <c r="H16" s="6" t="inlineStr">
        <is>
          <t>Tuesday</t>
        </is>
      </c>
      <c r="I16" s="6" t="inlineStr">
        <is>
          <t>Monday</t>
        </is>
      </c>
      <c r="J16" s="6" t="inlineStr">
        <is>
          <t>Friday</t>
        </is>
      </c>
      <c r="K16" s="20" t="inlineStr">
        <is>
          <t>A</t>
        </is>
      </c>
      <c r="L16" s="21">
        <f>INDEX(G16:J16,MATCH(K16,$G$1:$J$1,0))</f>
        <v/>
      </c>
      <c r="M16" s="6" t="inlineStr">
        <is>
          <t>A is correct because Olga states that the supplier expects delivery “on Thursday instead of Tuesday.” Option B refers to the original date, not the new one. Option C and D are not mentioned anywhere in the conversation.</t>
        </is>
      </c>
    </row>
    <row r="17" ht="76" customHeight="1">
      <c r="A17" s="5" t="n">
        <v>116</v>
      </c>
      <c r="B17" s="5" t="n">
        <v>7</v>
      </c>
      <c r="C17" s="6" t="inlineStr">
        <is>
          <t>EcoBlend Shipment Delay</t>
        </is>
      </c>
      <c r="D17" s="6" t="inlineStr">
        <is>
          <t>chat</t>
        </is>
      </c>
      <c r="E17" s="6" t="inlineStr">
        <is>
          <t>negative fact</t>
        </is>
      </c>
      <c r="F17" s="6" t="inlineStr">
        <is>
          <t>Which of the following actions is NOT mentioned in the messages?</t>
        </is>
      </c>
      <c r="G17" s="6" t="inlineStr">
        <is>
          <t>Contacting wholesale clients by email</t>
        </is>
      </c>
      <c r="H17" s="6" t="inlineStr">
        <is>
          <t>Posting an update on social media</t>
        </is>
      </c>
      <c r="I17" s="6" t="inlineStr">
        <is>
          <t>Adjusting the inventory page</t>
        </is>
      </c>
      <c r="J17" s="6" t="inlineStr">
        <is>
          <t>Calling the supplier by phone</t>
        </is>
      </c>
      <c r="K17" s="20" t="inlineStr">
        <is>
          <t>D</t>
        </is>
      </c>
      <c r="L17" s="21">
        <f>INDEX(G17:J17,MATCH(K17,$G$1:$J$1,0))</f>
        <v/>
      </c>
      <c r="M17" s="6" t="inlineStr">
        <is>
          <t>D is correct because no one talks about calling the supplier. They handle the delay by email, website updates, and inventory adjustments. The other actions, emailing clients, posting updates, and modifying inventory, are all explicitly described.</t>
        </is>
      </c>
    </row>
    <row r="18" ht="76" customHeight="1">
      <c r="A18" s="15" t="n">
        <v>117</v>
      </c>
      <c r="B18" s="15" t="n">
        <v>8</v>
      </c>
      <c r="C18" s="22" t="inlineStr">
        <is>
          <t>Conference Slide Deck</t>
        </is>
      </c>
      <c r="D18" s="22" t="inlineStr">
        <is>
          <t>chat</t>
        </is>
      </c>
      <c r="E18" s="22" t="inlineStr">
        <is>
          <t>purpose</t>
        </is>
      </c>
      <c r="F18" s="22" t="inlineStr">
        <is>
          <t>What is the main purpose of the messages?</t>
        </is>
      </c>
      <c r="G18" s="22" t="inlineStr">
        <is>
          <t>To discuss results from a completed recycling project</t>
        </is>
      </c>
      <c r="H18" s="22" t="inlineStr">
        <is>
          <t>To prepare a presentation for an upcoming conference</t>
        </is>
      </c>
      <c r="I18" s="22" t="inlineStr">
        <is>
          <t>To plan a community outreach event before the conference</t>
        </is>
      </c>
      <c r="J18" s="22" t="inlineStr">
        <is>
          <t>To confirm who will deliver the presentation at the conference</t>
        </is>
      </c>
      <c r="K18" s="23" t="inlineStr">
        <is>
          <t>B</t>
        </is>
      </c>
      <c r="L18" s="24">
        <f>INDEX(G18:J18,MATCH(K18,$G$1:$J$1,0))</f>
        <v/>
      </c>
      <c r="M18" s="22" t="inlineStr">
        <is>
          <t>B is correct because the discussion is about preparing a single presentation for an upcoming conference. Michelle checks that everyone has uploaded slides, plans to combine them, and ensures the presentation fits the time limit. Option A is incorrect—the recycling data is just one section, not the focus. Option C is wrong because outreach isn't being planned; it's being excluded. Option D is incorrect because there's no mention of assigning a speaker.</t>
        </is>
      </c>
    </row>
    <row r="19" ht="76" customHeight="1">
      <c r="A19" s="15" t="n">
        <v>118</v>
      </c>
      <c r="B19" s="15" t="n">
        <v>8</v>
      </c>
      <c r="C19" s="22" t="inlineStr">
        <is>
          <t>Conference Slide Deck</t>
        </is>
      </c>
      <c r="D19" s="22" t="inlineStr">
        <is>
          <t>chat</t>
        </is>
      </c>
      <c r="E19" s="22" t="inlineStr">
        <is>
          <t>inference</t>
        </is>
      </c>
      <c r="F19" s="22" t="inlineStr">
        <is>
          <t>What can be inferred about the team's presentation?</t>
        </is>
      </c>
      <c r="G19" s="22" t="inlineStr">
        <is>
          <t>It will include slides from multiple contributors.</t>
        </is>
      </c>
      <c r="H19" s="22" t="inlineStr">
        <is>
          <t>It will be the longest presentation at the conference.</t>
        </is>
      </c>
      <c r="I19" s="22" t="inlineStr">
        <is>
          <t>It focuses on the community outreach data.</t>
        </is>
      </c>
      <c r="J19" s="22" t="inlineStr">
        <is>
          <t>It has not yet been accepted by the conference organizers.</t>
        </is>
      </c>
      <c r="K19" s="23" t="inlineStr">
        <is>
          <t>A</t>
        </is>
      </c>
      <c r="L19" s="24">
        <f>INDEX(G19:J19,MATCH(K19,$G$1:$J$1,0))</f>
        <v/>
      </c>
      <c r="M19" s="22" t="inlineStr">
        <is>
          <t>A is correct because multiple team members mention uploading their slides, and Michelle says she will “combine all the slides into one deck.” Option B is incorrect because the session lasts only ten minutes. Option C is wrong because the outreach section was deliberately left out. Option D is unsupported since the conference is already confirmed.</t>
        </is>
      </c>
    </row>
    <row r="20" ht="76" customHeight="1">
      <c r="A20" s="15" t="n">
        <v>119</v>
      </c>
      <c r="B20" s="15" t="n">
        <v>8</v>
      </c>
      <c r="C20" s="22" t="inlineStr">
        <is>
          <t>Conference Slide Deck</t>
        </is>
      </c>
      <c r="D20" s="22" t="inlineStr">
        <is>
          <t>chat</t>
        </is>
      </c>
      <c r="E20" s="22" t="inlineStr">
        <is>
          <t>detail</t>
        </is>
      </c>
      <c r="F20" s="22" t="inlineStr">
        <is>
          <t>According to the messages, what task is Ela responsible for?</t>
        </is>
      </c>
      <c r="G20" s="22" t="inlineStr">
        <is>
          <t>Designing new charts for the report</t>
        </is>
      </c>
      <c r="H20" s="22" t="inlineStr">
        <is>
          <t>Combining individual slides into a final presentation</t>
        </is>
      </c>
      <c r="I20" s="22" t="inlineStr">
        <is>
          <t>Presenting the outreach section</t>
        </is>
      </c>
      <c r="J20" s="22" t="inlineStr">
        <is>
          <t>Uploading the pilot program data</t>
        </is>
      </c>
      <c r="K20" s="23" t="inlineStr">
        <is>
          <t>A</t>
        </is>
      </c>
      <c r="L20" s="24">
        <f>INDEX(G20:J20,MATCH(K20,$G$1:$J$1,0))</f>
        <v/>
      </c>
      <c r="M20" s="22" t="inlineStr">
        <is>
          <t>A is correct because Ela says, “I'm still adjusting a few charts, but I'll upload my file before the end of the day.” Option B is incorrect because Michelle, not Ela, is combining the slides. Option C is wrong because Michelle doesn't mention presenting. Option D is also incorrect because Hiro uploaded the recycling data.</t>
        </is>
      </c>
    </row>
    <row r="21" ht="76" customHeight="1">
      <c r="A21" s="5" t="n">
        <v>120</v>
      </c>
      <c r="B21" s="5" t="n">
        <v>9</v>
      </c>
      <c r="C21" s="6" t="inlineStr">
        <is>
          <t>Academic Mentorship Program</t>
        </is>
      </c>
      <c r="D21" s="6" t="inlineStr">
        <is>
          <t>email</t>
        </is>
      </c>
      <c r="E21" s="6" t="inlineStr">
        <is>
          <t>purpose</t>
        </is>
      </c>
      <c r="F21" s="6" t="inlineStr">
        <is>
          <t>What is the main purpose of the email?</t>
        </is>
      </c>
      <c r="G21" s="6" t="inlineStr">
        <is>
          <t>To request feedback on past mentoring experiences</t>
        </is>
      </c>
      <c r="H21" s="6" t="inlineStr">
        <is>
          <t>To announce a new scholarship opportunity for first-year students</t>
        </is>
      </c>
      <c r="I21" s="6" t="inlineStr">
        <is>
          <t>To provide information about tutoring services at the Student Success Center</t>
        </is>
      </c>
      <c r="J21" s="6" t="inlineStr">
        <is>
          <t>To invite students to participate in a university mentorship program</t>
        </is>
      </c>
      <c r="K21" s="20" t="inlineStr">
        <is>
          <t>D</t>
        </is>
      </c>
      <c r="L21" s="21">
        <f>INDEX(G21:J21,MATCH(K21,$G$1:$J$1,0))</f>
        <v/>
      </c>
      <c r="M21" s="6" t="inlineStr">
        <is>
          <t>D is correct because the email invites students to “complete the short application form” if they want to become mentors, making it an invitation to participate in the university's mentorship program. Option A is incorrect since no feedback is requested. Option B is wrong because scholarships aren't mentioned. Option C is partly related, as the Student Success Center is referenced, but the program is mentorship, not tutoring.</t>
        </is>
      </c>
    </row>
    <row r="22" ht="76" customHeight="1">
      <c r="A22" s="5" t="n">
        <v>121</v>
      </c>
      <c r="B22" s="5" t="n">
        <v>9</v>
      </c>
      <c r="C22" s="6" t="inlineStr">
        <is>
          <t>Academic Mentorship Program</t>
        </is>
      </c>
      <c r="D22" s="6" t="inlineStr">
        <is>
          <t>email</t>
        </is>
      </c>
      <c r="E22" s="6" t="inlineStr">
        <is>
          <t>detail</t>
        </is>
      </c>
      <c r="F22" s="6" t="inlineStr">
        <is>
          <t>When will training sessions take place?</t>
        </is>
      </c>
      <c r="G22" s="6" t="inlineStr">
        <is>
          <t>By the end of the spring semester</t>
        </is>
      </c>
      <c r="H22" s="6" t="inlineStr">
        <is>
          <t>Around February 24th</t>
        </is>
      </c>
      <c r="I22" s="6" t="inlineStr">
        <is>
          <t>During the first week of February</t>
        </is>
      </c>
      <c r="J22" s="6" t="inlineStr">
        <is>
          <t>By February 14</t>
        </is>
      </c>
      <c r="K22" s="20" t="inlineStr">
        <is>
          <t>B</t>
        </is>
      </c>
      <c r="L22" s="21">
        <f>INDEX(G22:J22,MATCH(K22,$G$1:$J$1,0))</f>
        <v/>
      </c>
      <c r="M22" s="6" t="inlineStr">
        <is>
          <t>B is correct because the email notes that training will take place “during the last week of February,” which would fall around February 24. Option A is too late in the semester, Option C is too early, and Option D is incorrect because February 14 is the application deadline, not the training date.</t>
        </is>
      </c>
    </row>
    <row r="23" ht="76" customHeight="1">
      <c r="A23" s="5" t="n">
        <v>122</v>
      </c>
      <c r="B23" s="5" t="n">
        <v>9</v>
      </c>
      <c r="C23" s="6" t="inlineStr">
        <is>
          <t>Academic Mentorship Program</t>
        </is>
      </c>
      <c r="D23" s="6" t="inlineStr">
        <is>
          <t>email</t>
        </is>
      </c>
      <c r="E23" s="6" t="inlineStr">
        <is>
          <t>inference</t>
        </is>
      </c>
      <c r="F23" s="6" t="inlineStr">
        <is>
          <t>What can be inferred about the program's previous success?</t>
        </is>
      </c>
      <c r="G23" s="6" t="inlineStr">
        <is>
          <t>It has mainly focused on graduate student mentorship.</t>
        </is>
      </c>
      <c r="H23" s="6" t="inlineStr">
        <is>
          <t>It was recently introduced and still being tested.</t>
        </is>
      </c>
      <c r="I23" s="6" t="inlineStr">
        <is>
          <t>It has been in place for several semesters.</t>
        </is>
      </c>
      <c r="J23" s="6" t="inlineStr">
        <is>
          <t>It has faced difficulties recruiting interested applicants.</t>
        </is>
      </c>
      <c r="K23" s="20" t="inlineStr">
        <is>
          <t>C</t>
        </is>
      </c>
      <c r="L23" s="21">
        <f>INDEX(G23:J23,MATCH(K23,$G$1:$J$1,0))</f>
        <v/>
      </c>
      <c r="M23" s="6" t="inlineStr">
        <is>
          <t>C is correct because the message explains that the program “has helped hundreds of students,” indicating it has existed for several semesters. Option A is wrong—it mentions first-year students, not graduate students. Option B contradicts the idea of long-term success. Option D is unsupported; nothing suggests recruitment problems.</t>
        </is>
      </c>
    </row>
    <row r="24" ht="76" customHeight="1">
      <c r="A24" s="15" t="n">
        <v>123</v>
      </c>
      <c r="B24" s="15" t="n">
        <v>10</v>
      </c>
      <c r="C24" s="22" t="inlineStr">
        <is>
          <t>Temporary Relocation of HR</t>
        </is>
      </c>
      <c r="D24" s="22" t="inlineStr">
        <is>
          <t>email</t>
        </is>
      </c>
      <c r="E24" s="22" t="inlineStr">
        <is>
          <t>purpose</t>
        </is>
      </c>
      <c r="F24" s="22" t="inlineStr">
        <is>
          <t>What is the main purpose of this announcement?</t>
        </is>
      </c>
      <c r="G24" s="22" t="inlineStr">
        <is>
          <t>To inform employees about a change in HR's location</t>
        </is>
      </c>
      <c r="H24" s="22" t="inlineStr">
        <is>
          <t>To advertise new positions opening in the HR department</t>
        </is>
      </c>
      <c r="I24" s="22" t="inlineStr">
        <is>
          <t>To announce a change in HR operating hours during the summer</t>
        </is>
      </c>
      <c r="J24" s="22" t="inlineStr">
        <is>
          <t>To explain the reason for the renovations to the HR department</t>
        </is>
      </c>
      <c r="K24" s="23" t="inlineStr">
        <is>
          <t>A</t>
        </is>
      </c>
      <c r="L24" s="24">
        <f>INDEX(G24:J24,MATCH(K24,$G$1:$J$1,0))</f>
        <v/>
      </c>
      <c r="M24" s="22" t="inlineStr">
        <is>
          <t>A is correct because the email opens by announcing that the HR Department “will be temporarily relocated to Suite 402 while renovations are completed.” The message gives the effective date and the expected duration, which confirms its purpose is to inform employees about this move. Option B is incorrect because it doesn't advertise new jobs. Option C is wrong because the hours will remain the same. Option D is only partly true since renovations are mentioned but not explained in detail.</t>
        </is>
      </c>
    </row>
    <row r="25" ht="76" customHeight="1">
      <c r="A25" s="15" t="n">
        <v>124</v>
      </c>
      <c r="B25" s="15" t="n">
        <v>10</v>
      </c>
      <c r="C25" s="22" t="inlineStr">
        <is>
          <t>Temporary Relocation of HR</t>
        </is>
      </c>
      <c r="D25" s="22" t="inlineStr">
        <is>
          <t>email</t>
        </is>
      </c>
      <c r="E25" s="22" t="inlineStr">
        <is>
          <t>detail</t>
        </is>
      </c>
      <c r="F25" s="22" t="inlineStr">
        <is>
          <t>What will remain unchanged during the renovation period?</t>
        </is>
      </c>
      <c r="G25" s="22" t="inlineStr">
        <is>
          <t>The location of the payroll office and staff parking</t>
        </is>
      </c>
      <c r="H25" s="22" t="inlineStr">
        <is>
          <t>The department's business hours and contact methods</t>
        </is>
      </c>
      <c r="I25" s="22" t="inlineStr">
        <is>
          <t>The schedule of construction work on each floor</t>
        </is>
      </c>
      <c r="J25" s="22" t="inlineStr">
        <is>
          <t>The entrance used by employees to access Suite 402</t>
        </is>
      </c>
      <c r="K25" s="23" t="inlineStr">
        <is>
          <t>B</t>
        </is>
      </c>
      <c r="L25" s="24">
        <f>INDEX(G25:J25,MATCH(K25,$G$1:$J$1,0))</f>
        <v/>
      </c>
      <c r="M25" s="22" t="inlineStr">
        <is>
          <t>B is correct because the notice says, “The HR team will maintain normal business hours and can still be reached by phone or email,” making it clear those two aspects will stay the same. Option A is incorrect because the payroll office is part of HR, so it's moving too. Option C is unsupported since there's no construction schedule. Option D is irrelevant because the entrance isn't discussed.</t>
        </is>
      </c>
    </row>
    <row r="26" ht="76" customHeight="1">
      <c r="A26" s="15" t="n">
        <v>125</v>
      </c>
      <c r="B26" s="15" t="n">
        <v>10</v>
      </c>
      <c r="C26" s="22" t="inlineStr">
        <is>
          <t>Temporary Relocation of HR</t>
        </is>
      </c>
      <c r="D26" s="22" t="inlineStr">
        <is>
          <t>email</t>
        </is>
      </c>
      <c r="E26" s="22" t="inlineStr">
        <is>
          <t>detail</t>
        </is>
      </c>
      <c r="F26" s="22" t="inlineStr">
        <is>
          <t>What is one improvement being made to the HR office?</t>
        </is>
      </c>
      <c r="G26" s="22" t="inlineStr">
        <is>
          <t>Expanding the department's overall staff size</t>
        </is>
      </c>
      <c r="H26" s="22" t="inlineStr">
        <is>
          <t>Creating a more private space for meetings</t>
        </is>
      </c>
      <c r="I26" s="22" t="inlineStr">
        <is>
          <t>Replacing paper-based records with digital files</t>
        </is>
      </c>
      <c r="J26" s="22" t="inlineStr">
        <is>
          <t>Adding a new elevator for employee use</t>
        </is>
      </c>
      <c r="K26" s="23" t="inlineStr">
        <is>
          <t>B</t>
        </is>
      </c>
      <c r="L26" s="24">
        <f>INDEX(G26:J26,MATCH(K26,$G$1:$J$1,0))</f>
        <v/>
      </c>
      <c r="M26" s="22" t="inlineStr">
        <is>
          <t>B is correct because one listed improvement is “a more private meeting area for confidential consultations.” Option A is incorrect since staffing changes aren't mentioned. Option C is wrong because digital recordkeeping is never brought up. Option D is also incorrect. No new elevator is planned.</t>
        </is>
      </c>
    </row>
    <row r="27" ht="76" customHeight="1">
      <c r="A27" s="5" t="n">
        <v>126</v>
      </c>
      <c r="B27" s="5" t="n">
        <v>11</v>
      </c>
      <c r="C27" s="6" t="inlineStr">
        <is>
          <t>Water Service Interruption</t>
        </is>
      </c>
      <c r="D27" s="6" t="inlineStr">
        <is>
          <t>email</t>
        </is>
      </c>
      <c r="E27" s="6" t="inlineStr">
        <is>
          <t>detail</t>
        </is>
      </c>
      <c r="F27" s="6" t="inlineStr">
        <is>
          <t>According to the message, what should residents do before the maintenance begins?</t>
        </is>
      </c>
      <c r="G27" s="6" t="inlineStr">
        <is>
          <t>Store water to last at least a week</t>
        </is>
      </c>
      <c r="H27" s="6" t="inlineStr">
        <is>
          <t>Contact the maintenance crew for an inspection</t>
        </is>
      </c>
      <c r="I27" s="6" t="inlineStr">
        <is>
          <t>Prepare enough water for household use</t>
        </is>
      </c>
      <c r="J27" s="6" t="inlineStr">
        <is>
          <t>Run the tap water for a few minutes</t>
        </is>
      </c>
      <c r="K27" s="20" t="inlineStr">
        <is>
          <t>C</t>
        </is>
      </c>
      <c r="L27" s="21">
        <f>INDEX(G27:J27,MATCH(K27,$G$1:$J$1,0))</f>
        <v/>
      </c>
      <c r="M27" s="6" t="inlineStr">
        <is>
          <t>C is correct because residents are told to “store an adequate supply of water for cooking, cleaning, and drinking before the interruption begins.” That's the clear instruction. Option A exaggerates the timeline—there's no mention of a week. Option B is incorrect because residents don't need to contact maintenance. Option D is also wrong—running the tap happens after service resumes.</t>
        </is>
      </c>
    </row>
    <row r="28" ht="76" customHeight="1">
      <c r="A28" s="5" t="n">
        <v>127</v>
      </c>
      <c r="B28" s="5" t="n">
        <v>11</v>
      </c>
      <c r="C28" s="6" t="inlineStr">
        <is>
          <t>Water Service Interruption</t>
        </is>
      </c>
      <c r="D28" s="6" t="inlineStr">
        <is>
          <t>email</t>
        </is>
      </c>
      <c r="E28" s="6" t="inlineStr">
        <is>
          <t>detail</t>
        </is>
      </c>
      <c r="F28" s="6" t="inlineStr">
        <is>
          <t>What is one reason the maintenance might take longer than expected?</t>
        </is>
      </c>
      <c r="G28" s="6" t="inlineStr">
        <is>
          <t>Delays often occur because crews wait for ideal conditions.</t>
        </is>
      </c>
      <c r="H28" s="6" t="inlineStr">
        <is>
          <t>The maintenance team plans to replace all pipes in the area.</t>
        </is>
      </c>
      <c r="I28" s="6" t="inlineStr">
        <is>
          <t>Additional repairs could be needed once the work begins.</t>
        </is>
      </c>
      <c r="J28" s="6" t="inlineStr">
        <is>
          <t>The start time could change due to heavy rainfall.</t>
        </is>
      </c>
      <c r="K28" s="20" t="inlineStr">
        <is>
          <t>C</t>
        </is>
      </c>
      <c r="L28" s="21">
        <f>INDEX(G28:J28,MATCH(K28,$G$1:$J$1,0))</f>
        <v/>
      </c>
      <c r="M28" s="6" t="inlineStr">
        <is>
          <t>C is correct because the message warns that “delays may occur if unexpected repairs are required.” That means extra repairs could make the work take longer. Option A is inaccurate—there's no mention of waiting for conditions. Option B is false; the maintenance is routine, not a full replacement. Option D is also incorrect because weather isn't mentioned.</t>
        </is>
      </c>
    </row>
    <row r="29" ht="76" customHeight="1">
      <c r="A29" s="5" t="n">
        <v>128</v>
      </c>
      <c r="B29" s="5" t="n">
        <v>11</v>
      </c>
      <c r="C29" s="6" t="inlineStr">
        <is>
          <t>Water Service Interruption</t>
        </is>
      </c>
      <c r="D29" s="6" t="inlineStr">
        <is>
          <t>email</t>
        </is>
      </c>
      <c r="E29" s="6" t="inlineStr">
        <is>
          <t>inference</t>
        </is>
      </c>
      <c r="F29" s="6" t="inlineStr">
        <is>
          <t>What can be inferred about the maintenance project?</t>
        </is>
      </c>
      <c r="G29" s="6" t="inlineStr">
        <is>
          <t>It is routine work intended to prevent larger problems in the future.</t>
        </is>
      </c>
      <c r="H29" s="6" t="inlineStr">
        <is>
          <t>It was organized quickly in response to a serious emergency.</t>
        </is>
      </c>
      <c r="I29" s="6" t="inlineStr">
        <is>
          <t>It will affect only a small number of households in the neighborhood.</t>
        </is>
      </c>
      <c r="J29" s="6" t="inlineStr">
        <is>
          <t>It is expected to create noticeable noise throughout the day.</t>
        </is>
      </c>
      <c r="K29" s="20" t="inlineStr">
        <is>
          <t>A</t>
        </is>
      </c>
      <c r="L29" s="21">
        <f>INDEX(G29:J29,MATCH(K29,$G$1:$J$1,0))</f>
        <v/>
      </c>
      <c r="M29" s="6" t="inlineStr">
        <is>
          <t>A is correct because it describes the project as “routine maintenance” meant “to ensure long-term reliability,” showing it's preventive work. Option B is wrong since it's not an emergency. Option C is incorrect because the outage affects all homes. Option D is unsupported because the message never mentions noise.</t>
        </is>
      </c>
    </row>
    <row r="30" ht="76" customHeight="1">
      <c r="A30" s="15" t="n">
        <v>129</v>
      </c>
      <c r="B30" s="15" t="n">
        <v>12</v>
      </c>
      <c r="C30" s="22" t="inlineStr">
        <is>
          <t>Campus Network Maintenance</t>
        </is>
      </c>
      <c r="D30" s="22" t="inlineStr">
        <is>
          <t>notice</t>
        </is>
      </c>
      <c r="E30" s="22" t="inlineStr">
        <is>
          <t>detail</t>
        </is>
      </c>
      <c r="F30" s="22" t="inlineStr">
        <is>
          <t>What measure has the university arranged to help students during the outage?</t>
        </is>
      </c>
      <c r="G30" s="22" t="inlineStr">
        <is>
          <t>Distributing improved network speed and coverage across the campus</t>
        </is>
      </c>
      <c r="H30" s="22" t="inlineStr">
        <is>
          <t>Extending assignment deadlines until after the maintenance period</t>
        </is>
      </c>
      <c r="I30" s="22" t="inlineStr">
        <is>
          <t>Allowing limited Wi-Fi access for academic websites only</t>
        </is>
      </c>
      <c r="J30" s="22" t="inlineStr">
        <is>
          <t>Keeping the Student Center computer lab open with staff support</t>
        </is>
      </c>
      <c r="K30" s="23" t="inlineStr">
        <is>
          <t>D</t>
        </is>
      </c>
      <c r="L30" s="24">
        <f>INDEX(G30:J30,MATCH(K30,$G$1:$J$1,0))</f>
        <v/>
      </c>
      <c r="M30" s="22" t="inlineStr">
        <is>
          <t>D is correct because the university arranged for the Student Center computer lab to “remain open overnight” with extra staff available, providing students an alternative during the outage. Option A misinterprets the goal—improvements happen after maintenance. Option B is incorrect because no deadline extensions are mentioned. Option C is also wrong because Wi-Fi access will be unavailable entirely, not limited.</t>
        </is>
      </c>
    </row>
    <row r="31" ht="76" customHeight="1">
      <c r="A31" s="15" t="n">
        <v>130</v>
      </c>
      <c r="B31" s="15" t="n">
        <v>12</v>
      </c>
      <c r="C31" s="22" t="inlineStr">
        <is>
          <t>Campus Network Maintenance</t>
        </is>
      </c>
      <c r="D31" s="22" t="inlineStr">
        <is>
          <t>notice</t>
        </is>
      </c>
      <c r="E31" s="22" t="inlineStr">
        <is>
          <t>negative fact</t>
        </is>
      </c>
      <c r="F31" s="22" t="inlineStr">
        <is>
          <t>According to the announcement, students are NOT advised to</t>
        </is>
      </c>
      <c r="G31" s="22" t="inlineStr">
        <is>
          <t>Visit the Student Center for online work</t>
        </is>
      </c>
      <c r="H31" s="22" t="inlineStr">
        <is>
          <t>Plan ahead if they rely on internet access</t>
        </is>
      </c>
      <c r="I31" s="22" t="inlineStr">
        <is>
          <t>Submit assignments online during the maintenance hours</t>
        </is>
      </c>
      <c r="J31" s="22" t="inlineStr">
        <is>
          <t>Expect improved coverage in older dorms once the upgrade is complete</t>
        </is>
      </c>
      <c r="K31" s="23" t="inlineStr">
        <is>
          <t>C</t>
        </is>
      </c>
      <c r="L31" s="24">
        <f>INDEX(G31:J31,MATCH(K31,$G$1:$J$1,0))</f>
        <v/>
      </c>
      <c r="M31" s="22" t="inlineStr">
        <is>
          <t>C is correct because students are advised to plan ahead, meaning they shouldn't try to submit assignments online between 2:00 and 6:00 A.M. when the network is down. Option A and B are encouraged behaviors, not discouraged ones. Option D is incorrect because improved coverage is actually expected once the upgrade is complete.</t>
        </is>
      </c>
    </row>
    <row r="32" ht="76" customHeight="1">
      <c r="A32" s="15" t="n">
        <v>131</v>
      </c>
      <c r="B32" s="15" t="n">
        <v>12</v>
      </c>
      <c r="C32" s="22" t="inlineStr">
        <is>
          <t>Campus Network Maintenance</t>
        </is>
      </c>
      <c r="D32" s="22" t="inlineStr">
        <is>
          <t>notice</t>
        </is>
      </c>
      <c r="E32" s="22" t="inlineStr">
        <is>
          <t>inference</t>
        </is>
      </c>
      <c r="F32" s="22" t="inlineStr">
        <is>
          <t>What can be inferred about the timing of the maintenance?</t>
        </is>
      </c>
      <c r="G32" s="22" t="inlineStr">
        <is>
          <t>It was arranged suddenly in response to a serious outage.</t>
        </is>
      </c>
      <c r="H32" s="22" t="inlineStr">
        <is>
          <t>It was scheduled overnight to reduce inconvenience for most students.</t>
        </is>
      </c>
      <c r="I32" s="22" t="inlineStr">
        <is>
          <t>It was chosen to coincide with a campus holiday when dorms are empty.</t>
        </is>
      </c>
      <c r="J32" s="22" t="inlineStr">
        <is>
          <t>It was delayed because of difficulties hiring staff for the Student Center.</t>
        </is>
      </c>
      <c r="K32" s="23" t="inlineStr">
        <is>
          <t>B</t>
        </is>
      </c>
      <c r="L32" s="24">
        <f>INDEX(G32:J32,MATCH(K32,$G$1:$J$1,0))</f>
        <v/>
      </c>
      <c r="M32" s="22" t="inlineStr">
        <is>
          <t>B is correct because the work is scheduled overnight, from 2:00 A.M. to 6:00 A.M., clearly chosen to minimize disruption. Option A is incorrect because it's planned maintenance, not emergency work. Option C is wrong because no campus holiday is mentioned. Option D is unsupported; the message says extra staff will be present, not that hiring was difficult.</t>
        </is>
      </c>
    </row>
    <row r="33" ht="76" customHeight="1">
      <c r="A33" s="5" t="n">
        <v>132</v>
      </c>
      <c r="B33" s="5" t="n">
        <v>13</v>
      </c>
      <c r="C33" s="6" t="inlineStr">
        <is>
          <t>Oakridge Community Pool</t>
        </is>
      </c>
      <c r="D33" s="6" t="inlineStr">
        <is>
          <t>notice</t>
        </is>
      </c>
      <c r="E33" s="6" t="inlineStr">
        <is>
          <t>purpose</t>
        </is>
      </c>
      <c r="F33" s="6" t="inlineStr">
        <is>
          <t>What is the main purpose of this notice?</t>
        </is>
      </c>
      <c r="G33" s="6" t="inlineStr">
        <is>
          <t>To let users know about extended benefits for annual membership</t>
        </is>
      </c>
      <c r="H33" s="6" t="inlineStr">
        <is>
          <t>To announce a permanent change to the facility's operating hours</t>
        </is>
      </c>
      <c r="I33" s="6" t="inlineStr">
        <is>
          <t>To inform members about a scheduled pool closure</t>
        </is>
      </c>
      <c r="J33" s="6" t="inlineStr">
        <is>
          <t>To promote new swim classes beginning the week after maintenance</t>
        </is>
      </c>
      <c r="K33" s="20" t="inlineStr">
        <is>
          <t>C</t>
        </is>
      </c>
      <c r="L33" s="21">
        <f>INDEX(G33:J33,MATCH(K33,$G$1:$J$1,0))</f>
        <v/>
      </c>
      <c r="M33" s="6" t="inlineStr">
        <is>
          <t>C is correct because the notice clearly informs members that the pool will be closed from August 5 through August 7 for annual cleaning and maintenance. The main goal is to announce this temporary closure. Choice A mentions extended memberships, but that is only a secondary detail. B does not fit since the message makes no mention of a permanent change to operating hours. D can also be ruled out because the announcement never promotes upcoming swim classes.</t>
        </is>
      </c>
    </row>
    <row r="34" ht="76" customHeight="1">
      <c r="A34" s="5" t="n">
        <v>133</v>
      </c>
      <c r="B34" s="5" t="n">
        <v>13</v>
      </c>
      <c r="C34" s="6" t="inlineStr">
        <is>
          <t>Oakridge Community Pool</t>
        </is>
      </c>
      <c r="D34" s="6" t="inlineStr">
        <is>
          <t>notice</t>
        </is>
      </c>
      <c r="E34" s="6" t="inlineStr">
        <is>
          <t>detail</t>
        </is>
      </c>
      <c r="F34" s="6" t="inlineStr">
        <is>
          <t>Why will memberships be extended?</t>
        </is>
      </c>
      <c r="G34" s="6" t="inlineStr">
        <is>
          <t>To offset the days when the pool cannot be used during maintenance</t>
        </is>
      </c>
      <c r="H34" s="6" t="inlineStr">
        <is>
          <t>To reward members who attend make-up lessons scheduled during the closure</t>
        </is>
      </c>
      <c r="I34" s="6" t="inlineStr">
        <is>
          <t>To compensate for reduced weight room hours while cleaning is performed</t>
        </is>
      </c>
      <c r="J34" s="6" t="inlineStr">
        <is>
          <t>To account for weather-related cancellations that week</t>
        </is>
      </c>
      <c r="K34" s="20" t="inlineStr">
        <is>
          <t>A</t>
        </is>
      </c>
      <c r="L34" s="21">
        <f>INDEX(G34:J34,MATCH(K34,$G$1:$J$1,0))</f>
        <v/>
      </c>
      <c r="M34" s="6" t="inlineStr">
        <is>
          <t>A is correct since the message explains that memberships will be “extended by three days to compensate for the closure period.” In other words, the extension makes up for the time when members cannot swim. The idea in B about make-up lessons does not appear anywhere in the text. C is off-topic because the gym remains open as usual, and D is unsupported because weather cancellations are never mentioned.</t>
        </is>
      </c>
    </row>
    <row r="35" ht="76" customHeight="1">
      <c r="A35" s="5" t="n">
        <v>134</v>
      </c>
      <c r="B35" s="5" t="n">
        <v>13</v>
      </c>
      <c r="C35" s="6" t="inlineStr">
        <is>
          <t>Oakridge Community Pool</t>
        </is>
      </c>
      <c r="D35" s="6" t="inlineStr">
        <is>
          <t>notice</t>
        </is>
      </c>
      <c r="E35" s="6" t="inlineStr">
        <is>
          <t>negative fact</t>
        </is>
      </c>
      <c r="F35" s="6" t="inlineStr">
        <is>
          <t>The notice does NOT advise members to</t>
        </is>
      </c>
      <c r="G35" s="6" t="inlineStr">
        <is>
          <t>Anticipate a three-day extension being applied to memberships</t>
        </is>
      </c>
      <c r="H35" s="6" t="inlineStr">
        <is>
          <t>Direct membership or scheduling questions to the front desk</t>
        </is>
      </c>
      <c r="I35" s="6" t="inlineStr">
        <is>
          <t>Continue using the gym and tennis courts during regular hours</t>
        </is>
      </c>
      <c r="J35" s="6" t="inlineStr">
        <is>
          <t>Expect complimentary guest passes during the closure period</t>
        </is>
      </c>
      <c r="K35" s="20" t="inlineStr">
        <is>
          <t>D</t>
        </is>
      </c>
      <c r="L35" s="21">
        <f>INDEX(G35:J35,MATCH(K35,$G$1:$J$1,0))</f>
        <v/>
      </c>
      <c r="M35" s="6" t="inlineStr">
        <is>
          <t>D is correct because there is no statement suggesting members will receive free guest passes. A, B, and C are all accurate details from the notice. Members are told to expect the three-day extension, contact the front desk for questions, and continue using the gym and tennis courts on their regular schedule.</t>
        </is>
      </c>
    </row>
  </sheetData>
  <autoFilter ref="A1:M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showGridLines="0"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2" customWidth="1" min="4" max="4"/>
    <col width="17" customWidth="1" min="5" max="5"/>
    <col width="46" customWidth="1" min="6" max="6"/>
    <col width="38" customWidth="1" min="7" max="7"/>
    <col width="38" customWidth="1" min="8" max="8"/>
    <col width="38" customWidth="1" min="9" max="9"/>
    <col width="38" customWidth="1" min="10" max="10"/>
    <col width="6" customWidth="1" min="11" max="11"/>
    <col width="40" customWidth="1" min="12" max="12"/>
    <col width="86" customWidth="1" min="13" max="13"/>
  </cols>
  <sheetData>
    <row r="1" ht="28" customHeight="1">
      <c r="A1" s="3" t="inlineStr">
        <is>
          <t>#</t>
        </is>
      </c>
      <c r="B1" s="3" t="inlineStr">
        <is>
          <t>Set</t>
        </is>
      </c>
      <c r="C1" s="3" t="inlineStr">
        <is>
          <t>Passage</t>
        </is>
      </c>
      <c r="D1" s="3" t="inlineStr">
        <is>
          <t>Format</t>
        </is>
      </c>
      <c r="E1" s="3" t="inlineStr">
        <is>
          <t>Question type</t>
        </is>
      </c>
      <c r="F1" s="3" t="inlineStr">
        <is>
          <t>Question</t>
        </is>
      </c>
      <c r="G1" s="3" t="inlineStr">
        <is>
          <t>A</t>
        </is>
      </c>
      <c r="H1" s="3" t="inlineStr">
        <is>
          <t>B</t>
        </is>
      </c>
      <c r="I1" s="3" t="inlineStr">
        <is>
          <t>C</t>
        </is>
      </c>
      <c r="J1" s="3" t="inlineStr">
        <is>
          <t>D</t>
        </is>
      </c>
      <c r="K1" s="3" t="inlineStr">
        <is>
          <t>Key</t>
        </is>
      </c>
      <c r="L1" s="3" t="inlineStr">
        <is>
          <t>Correct answer</t>
        </is>
      </c>
      <c r="M1" s="3" t="inlineStr">
        <is>
          <t>Explanation</t>
        </is>
      </c>
    </row>
    <row r="2" ht="76" customHeight="1">
      <c r="A2" s="5" t="n">
        <v>135</v>
      </c>
      <c r="B2" s="5" t="n">
        <v>1</v>
      </c>
      <c r="C2" s="6" t="inlineStr">
        <is>
          <t>The Evolution of Money</t>
        </is>
      </c>
      <c r="D2" s="6" t="inlineStr">
        <is>
          <t>article</t>
        </is>
      </c>
      <c r="E2" s="6" t="inlineStr">
        <is>
          <t>detail</t>
        </is>
      </c>
      <c r="F2" s="6" t="inlineStr">
        <is>
          <t>According to the passage, what problem made barter an inefficient system of trade?</t>
        </is>
      </c>
      <c r="G2" s="6" t="inlineStr">
        <is>
          <t>Each trader had to want what the other person offered.</t>
        </is>
      </c>
      <c r="H2" s="6" t="inlineStr">
        <is>
          <t>Barter required government supervision to be fair.</t>
        </is>
      </c>
      <c r="I2" s="6" t="inlineStr">
        <is>
          <t>Farmers could not determine the quality of exchanged goods.</t>
        </is>
      </c>
      <c r="J2" s="6" t="inlineStr">
        <is>
          <t>Early societies needed to adopt the same system of beads and shells.</t>
        </is>
      </c>
      <c r="K2" s="20" t="inlineStr">
        <is>
          <t>A</t>
        </is>
      </c>
      <c r="L2" s="21">
        <f>INDEX(G2:J2,MATCH(K2,$G$1:$J$1,0))</f>
        <v/>
      </c>
      <c r="M2" s="6" t="inlineStr">
        <is>
          <t>A is correct because the passage states that barter worked only when both traders wanted exactly what the other offered, which made exchanges inefficient. This lack of mutual desire for goods created serious limits to trade. The statement in B about government supervision is not mentioned at all. The idea in C that farmers could not judge quality is unrelated, and D confuses the timeline since shells and beads came later as substitutes for barter.</t>
        </is>
      </c>
    </row>
    <row r="3" ht="76" customHeight="1">
      <c r="A3" s="5" t="n">
        <v>136</v>
      </c>
      <c r="B3" s="5" t="n">
        <v>1</v>
      </c>
      <c r="C3" s="6" t="inlineStr">
        <is>
          <t>The Evolution of Money</t>
        </is>
      </c>
      <c r="D3" s="6" t="inlineStr">
        <is>
          <t>article</t>
        </is>
      </c>
      <c r="E3" s="6" t="inlineStr">
        <is>
          <t>detail</t>
        </is>
      </c>
      <c r="F3" s="6" t="inlineStr">
        <is>
          <t>What was one effect of the invention of coinage around 600 BCE?</t>
        </is>
      </c>
      <c r="G3" s="6" t="inlineStr">
        <is>
          <t>It caused shells and beads to lose their economic importance.</t>
        </is>
      </c>
      <c r="H3" s="6" t="inlineStr">
        <is>
          <t>It promoted trade over long distances by creating standardized value.</t>
        </is>
      </c>
      <c r="I3" s="6" t="inlineStr">
        <is>
          <t>It diminished the need for paper money in later economies.</t>
        </is>
      </c>
      <c r="J3" s="6" t="inlineStr">
        <is>
          <t>It restricted commerce to only places that used stamped metal pieces.</t>
        </is>
      </c>
      <c r="K3" s="20" t="inlineStr">
        <is>
          <t>B</t>
        </is>
      </c>
      <c r="L3" s="21">
        <f>INDEX(G3:J3,MATCH(K3,$G$1:$J$1,0))</f>
        <v/>
      </c>
      <c r="M3" s="6" t="inlineStr">
        <is>
          <t>B is correct as the text notes that stamped coins “allowed long-distance trade to flourish” by guaranteeing weight and purity. This innovation created standardized value that promoted broader commerce. A is inaccurate since coins did not instantly replace earlier forms like shells. C is false because paper money emerged much later, and D misinterprets the effect by suggesting coinage restricted trade rather than expanded it.</t>
        </is>
      </c>
    </row>
    <row r="4" ht="76" customHeight="1">
      <c r="A4" s="5" t="n">
        <v>137</v>
      </c>
      <c r="B4" s="5" t="n">
        <v>1</v>
      </c>
      <c r="C4" s="6" t="inlineStr">
        <is>
          <t>The Evolution of Money</t>
        </is>
      </c>
      <c r="D4" s="6" t="inlineStr">
        <is>
          <t>article</t>
        </is>
      </c>
      <c r="E4" s="6" t="inlineStr">
        <is>
          <t>vocabulary</t>
        </is>
      </c>
      <c r="F4" s="6" t="inlineStr">
        <is>
          <t>The word “durability” in the passage is closest in meaning to</t>
        </is>
      </c>
      <c r="G4" s="6" t="inlineStr">
        <is>
          <t>purity</t>
        </is>
      </c>
      <c r="H4" s="6" t="inlineStr">
        <is>
          <t>rarity</t>
        </is>
      </c>
      <c r="I4" s="6" t="inlineStr">
        <is>
          <t>weight</t>
        </is>
      </c>
      <c r="J4" s="6" t="inlineStr">
        <is>
          <t>strength</t>
        </is>
      </c>
      <c r="K4" s="20" t="inlineStr">
        <is>
          <t>D</t>
        </is>
      </c>
      <c r="L4" s="21">
        <f>INDEX(G4:J4,MATCH(K4,$G$1:$J$1,0))</f>
        <v/>
      </c>
      <c r="M4" s="6" t="inlineStr">
        <is>
          <t>D is correct because “durability” refers to strength or lasting quality. The author highlights that early materials like metals and shells were chosen for their ability to endure wear over time. The other words do not fit this meaning. Purity relates to content, rarity to scarcity, and weight to heaviness rather than endurance.</t>
        </is>
      </c>
    </row>
    <row r="5" ht="76" customHeight="1">
      <c r="A5" s="5" t="n">
        <v>138</v>
      </c>
      <c r="B5" s="5" t="n">
        <v>1</v>
      </c>
      <c r="C5" s="6" t="inlineStr">
        <is>
          <t>The Evolution of Money</t>
        </is>
      </c>
      <c r="D5" s="6" t="inlineStr">
        <is>
          <t>article</t>
        </is>
      </c>
      <c r="E5" s="6" t="inlineStr">
        <is>
          <t>rhetorical purpose</t>
        </is>
      </c>
      <c r="F5" s="6" t="inlineStr">
        <is>
          <t>Why does the author mention the “double coincidence of wants”?</t>
        </is>
      </c>
      <c r="G5" s="6" t="inlineStr">
        <is>
          <t>To define an early form of currency used in ancient markets</t>
        </is>
      </c>
      <c r="H5" s="6" t="inlineStr">
        <is>
          <t>To illustrate why barter created obstacles that money later solved</t>
        </is>
      </c>
      <c r="I5" s="6" t="inlineStr">
        <is>
          <t>To explain why some societies still rely on trade without money</t>
        </is>
      </c>
      <c r="J5" s="6" t="inlineStr">
        <is>
          <t>To introduce a technical term that describes how bartering led to coin-making</t>
        </is>
      </c>
      <c r="K5" s="20" t="inlineStr">
        <is>
          <t>B</t>
        </is>
      </c>
      <c r="L5" s="21">
        <f>INDEX(G5:J5,MATCH(K5,$G$1:$J$1,0))</f>
        <v/>
      </c>
      <c r="M5" s="6" t="inlineStr">
        <is>
          <t>B is correct because the phrase “double coincidence of wants” illustrates why barter created difficulties that money helped resolve. The author introduces it to show the motivation for inventing more flexible exchange systems. A is not correct because it is not describing an early currency. The idea in C that some societies still rely on trade without money goes beyond what the text says. D overstates the point since the phrase explains the problem, not the invention of coins directly.</t>
        </is>
      </c>
    </row>
    <row r="6" ht="76" customHeight="1">
      <c r="A6" s="5" t="n">
        <v>139</v>
      </c>
      <c r="B6" s="5" t="n">
        <v>1</v>
      </c>
      <c r="C6" s="6" t="inlineStr">
        <is>
          <t>The Evolution of Money</t>
        </is>
      </c>
      <c r="D6" s="6" t="inlineStr">
        <is>
          <t>article</t>
        </is>
      </c>
      <c r="E6" s="6" t="inlineStr">
        <is>
          <t>insert text</t>
        </is>
      </c>
      <c r="F6" s="6" t="inlineStr">
        <is>
          <t>Look at the four squares that indicate where the following sentence could be added to the passage.
“This innovation allowed goods to be traded more easily across regions and cultures.”
Where would the sentence best fit?</t>
        </is>
      </c>
      <c r="G6" s="6" t="inlineStr">
        <is>
          <t>Square A</t>
        </is>
      </c>
      <c r="H6" s="6" t="inlineStr">
        <is>
          <t>Square B</t>
        </is>
      </c>
      <c r="I6" s="6" t="inlineStr">
        <is>
          <t>Square C</t>
        </is>
      </c>
      <c r="J6" s="6" t="inlineStr">
        <is>
          <t>Square D</t>
        </is>
      </c>
      <c r="K6" s="20" t="inlineStr">
        <is>
          <t>C</t>
        </is>
      </c>
      <c r="L6" s="21">
        <f>INDEX(G6:J6,MATCH(K6,$G$1:$J$1,0))</f>
        <v/>
      </c>
      <c r="M6" s="6" t="inlineStr">
        <is>
          <t>The sentence fits best at position C. It connects naturally after describing “The invention of coinage around 600 BCE.” A is incorrect because no innovation has been described yet. Option B doesn't work because it describes multiple innovations, “Early societies adopted shells, beads, and metals,” not just one. And option D does not match the flow of the paragraph, making C the best option.</t>
        </is>
      </c>
    </row>
    <row r="7" ht="76" customHeight="1">
      <c r="A7" s="15" t="n">
        <v>140</v>
      </c>
      <c r="B7" s="15" t="n">
        <v>2</v>
      </c>
      <c r="C7" s="22" t="inlineStr">
        <is>
          <t>The Hidden Life of Soil</t>
        </is>
      </c>
      <c r="D7" s="22" t="inlineStr">
        <is>
          <t>article</t>
        </is>
      </c>
      <c r="E7" s="22" t="inlineStr">
        <is>
          <t>detail</t>
        </is>
      </c>
      <c r="F7" s="22" t="inlineStr">
        <is>
          <t>According to the passage, what enables soil to act as a “living factory”?</t>
        </is>
      </c>
      <c r="G7" s="22" t="inlineStr">
        <is>
          <t>The balance of oxygen and water maintained by plant roots</t>
        </is>
      </c>
      <c r="H7" s="22" t="inlineStr">
        <is>
          <t>The minerals that form naturally in the soil over time</t>
        </is>
      </c>
      <c r="I7" s="22" t="inlineStr">
        <is>
          <t>The constant addition of fertilizers invented by microorganisms</t>
        </is>
      </c>
      <c r="J7" s="22" t="inlineStr">
        <is>
          <t>The interaction of countless organisms that release nutrients</t>
        </is>
      </c>
      <c r="K7" s="23" t="inlineStr">
        <is>
          <t>D</t>
        </is>
      </c>
      <c r="L7" s="24">
        <f>INDEX(G7:J7,MATCH(K7,$G$1:$J$1,0))</f>
        <v/>
      </c>
      <c r="M7" s="22" t="inlineStr">
        <is>
          <t>D is correct because the author explains that billions of microorganisms interact within soil to release nutrients for plant growth, turning it into a “living factory.” The other choices miss this focus. A mentions oxygen and water, which are not discussed. B talks about minerals forming naturally, but that is not part of the explanation. C is inaccurate since fertilizers are man-made, not produced by microorganisms.</t>
        </is>
      </c>
    </row>
    <row r="8" ht="76" customHeight="1">
      <c r="A8" s="15" t="n">
        <v>141</v>
      </c>
      <c r="B8" s="15" t="n">
        <v>2</v>
      </c>
      <c r="C8" s="22" t="inlineStr">
        <is>
          <t>The Hidden Life of Soil</t>
        </is>
      </c>
      <c r="D8" s="22" t="inlineStr">
        <is>
          <t>article</t>
        </is>
      </c>
      <c r="E8" s="22" t="inlineStr">
        <is>
          <t>negative fact</t>
        </is>
      </c>
      <c r="F8" s="22" t="inlineStr">
        <is>
          <t>All of the following are described in the passage as outcomes of soil degradation EXCEPT</t>
        </is>
      </c>
      <c r="G8" s="22" t="inlineStr">
        <is>
          <t>The loss of microbial diversity</t>
        </is>
      </c>
      <c r="H8" s="22" t="inlineStr">
        <is>
          <t>Increased release of carbon into the atmosphere</t>
        </is>
      </c>
      <c r="I8" s="22" t="inlineStr">
        <is>
          <t>Greater public recognition of underground ecological change</t>
        </is>
      </c>
      <c r="J8" s="22" t="inlineStr">
        <is>
          <t>Rising greenhouse gas concentrations</t>
        </is>
      </c>
      <c r="K8" s="23" t="inlineStr">
        <is>
          <t>C</t>
        </is>
      </c>
      <c r="L8" s="24">
        <f>INDEX(G8:J8,MATCH(K8,$G$1:$J$1,0))</f>
        <v/>
      </c>
      <c r="M8" s="22" t="inlineStr">
        <is>
          <t>C is correct because the passage never claims that soil degradation leads to greater public attention. In fact, it says the opposite, calling it a “quiet crisis.” The other three outcomes are all described in the text. The loss of microbial diversity, carbon release into the air, and rising greenhouse gases are presented as clear consequences.</t>
        </is>
      </c>
    </row>
    <row r="9" ht="76" customHeight="1">
      <c r="A9" s="15" t="n">
        <v>142</v>
      </c>
      <c r="B9" s="15" t="n">
        <v>2</v>
      </c>
      <c r="C9" s="22" t="inlineStr">
        <is>
          <t>The Hidden Life of Soil</t>
        </is>
      </c>
      <c r="D9" s="22" t="inlineStr">
        <is>
          <t>article</t>
        </is>
      </c>
      <c r="E9" s="22" t="inlineStr">
        <is>
          <t>sentence select</t>
        </is>
      </c>
      <c r="F9" s="22" t="inlineStr">
        <is>
          <t>Click on the sentence that explains why soil degradation often goes unnoticed compared to other environmental problems.</t>
        </is>
      </c>
      <c r="G9" s="22" t="inlineStr">
        <is>
          <t>As these microorganisms decline, carbon that was once stored underground escapes into the atmosphere, adding to greenhouse gases.</t>
        </is>
      </c>
      <c r="H9" s="22" t="inlineStr">
        <is>
          <t>Because these changes occur below the surface, scientists describe soil degradation as a “quiet crisis” that receives far less attention than deforestation or melting ice.</t>
        </is>
      </c>
      <c r="I9" s="22" t="inlineStr">
        <is>
          <t>Some regions are now demonstrating how soil recovery can work in practice.</t>
        </is>
      </c>
      <c r="J9" s="22" t="inlineStr">
        <is>
          <t>In India, farmers who rotate rice and lentil crops are restoring nitrogen levels naturally.</t>
        </is>
      </c>
      <c r="K9" s="23" t="inlineStr">
        <is>
          <t>B</t>
        </is>
      </c>
      <c r="L9" s="24">
        <f>INDEX(G9:J9,MATCH(K9,$G$1:$J$1,0))</f>
        <v/>
      </c>
      <c r="M9" s="22" t="inlineStr">
        <is>
          <t>B is correct. “Because these changes occur below the surface, scientists describe soil degradation as a ‘quiet crisis' that receives far less attention than deforestation or melting ice.” This sentence best explains why soil degradation often goes unnoticed compared with other environmental problems.</t>
        </is>
      </c>
    </row>
    <row r="10" ht="76" customHeight="1">
      <c r="A10" s="15" t="n">
        <v>143</v>
      </c>
      <c r="B10" s="15" t="n">
        <v>2</v>
      </c>
      <c r="C10" s="22" t="inlineStr">
        <is>
          <t>The Hidden Life of Soil</t>
        </is>
      </c>
      <c r="D10" s="22" t="inlineStr">
        <is>
          <t>article</t>
        </is>
      </c>
      <c r="E10" s="22" t="inlineStr">
        <is>
          <t>vocabulary</t>
        </is>
      </c>
      <c r="F10" s="22" t="inlineStr">
        <is>
          <t>The word “inert” in the passage is closest in meaning to</t>
        </is>
      </c>
      <c r="G10" s="22" t="inlineStr">
        <is>
          <t>complex</t>
        </is>
      </c>
      <c r="H10" s="22" t="inlineStr">
        <is>
          <t>valuable</t>
        </is>
      </c>
      <c r="I10" s="22" t="inlineStr">
        <is>
          <t>motionless</t>
        </is>
      </c>
      <c r="J10" s="22" t="inlineStr">
        <is>
          <t>fragile</t>
        </is>
      </c>
      <c r="K10" s="23" t="inlineStr">
        <is>
          <t>C</t>
        </is>
      </c>
      <c r="L10" s="24">
        <f>INDEX(G10:J10,MATCH(K10,$G$1:$J$1,0))</f>
        <v/>
      </c>
      <c r="M10" s="22" t="inlineStr">
        <is>
          <t>C is correct since “inert” means still or motionless. The author uses it to emphasize the contrast between soil's lifeless appearance and its hidden activity. A does not work because the author calls soil dynamic, not complex in that sense. B and D are also off base because “inert” has nothing to do with value or fragility.</t>
        </is>
      </c>
    </row>
    <row r="11" ht="76" customHeight="1">
      <c r="A11" s="15" t="n">
        <v>144</v>
      </c>
      <c r="B11" s="15" t="n">
        <v>2</v>
      </c>
      <c r="C11" s="22" t="inlineStr">
        <is>
          <t>The Hidden Life of Soil</t>
        </is>
      </c>
      <c r="D11" s="22" t="inlineStr">
        <is>
          <t>article</t>
        </is>
      </c>
      <c r="E11" s="22" t="inlineStr">
        <is>
          <t>rhetorical purpose</t>
        </is>
      </c>
      <c r="F11" s="22" t="inlineStr">
        <is>
          <t>Why does the author refer to farming practices in India?</t>
        </is>
      </c>
      <c r="G11" s="22" t="inlineStr">
        <is>
          <t>To argue that crop rotation is no longer necessary in modern farming</t>
        </is>
      </c>
      <c r="H11" s="22" t="inlineStr">
        <is>
          <t>To contrast traditional techniques with industrial fertilizer use</t>
        </is>
      </c>
      <c r="I11" s="22" t="inlineStr">
        <is>
          <t>To show a successful example of restoring soil health</t>
        </is>
      </c>
      <c r="J11" s="22" t="inlineStr">
        <is>
          <t>To highlight regions most affected by carbon loss from soil</t>
        </is>
      </c>
      <c r="K11" s="23" t="inlineStr">
        <is>
          <t>C</t>
        </is>
      </c>
      <c r="L11" s="24">
        <f>INDEX(G11:J11,MATCH(K11,$G$1:$J$1,0))</f>
        <v/>
      </c>
      <c r="M11" s="22" t="inlineStr">
        <is>
          <t>C is correct because the example from India shows how rotating rice and lentil crops restores soil nitrogen naturally, demonstrating successful soil recovery. The other choices do not match the author's purpose. A is incorrect since the text supports, rather than dismisses, crop rotation. B is partly related but misses the positive outcome being emphasized. D does not fit because India is cited for innovation, not for severe damage.</t>
        </is>
      </c>
    </row>
    <row r="12" ht="76" customHeight="1">
      <c r="A12" s="5" t="n">
        <v>145</v>
      </c>
      <c r="B12" s="5" t="n">
        <v>3</v>
      </c>
      <c r="C12" s="6" t="inlineStr">
        <is>
          <t>The Double Edge of Facial Recognition</t>
        </is>
      </c>
      <c r="D12" s="6" t="inlineStr">
        <is>
          <t>article</t>
        </is>
      </c>
      <c r="E12" s="6" t="inlineStr">
        <is>
          <t>main idea</t>
        </is>
      </c>
      <c r="F12" s="6" t="inlineStr">
        <is>
          <t>What is the main idea of the passage?</t>
        </is>
      </c>
      <c r="G12" s="6" t="inlineStr">
        <is>
          <t>Facial recognition offers both convenience and risks.</t>
        </is>
      </c>
      <c r="H12" s="6" t="inlineStr">
        <is>
          <t>Governments should ban facial recognition because it violates civil liberties.</t>
        </is>
      </c>
      <c r="I12" s="6" t="inlineStr">
        <is>
          <t>The success of facial recognition depends on its technological accuracy.</t>
        </is>
      </c>
      <c r="J12" s="6" t="inlineStr">
        <is>
          <t>The London system has proven that large-scale surveillance is reliable.</t>
        </is>
      </c>
      <c r="K12" s="20" t="inlineStr">
        <is>
          <t>A</t>
        </is>
      </c>
      <c r="L12" s="21">
        <f>INDEX(G12:J12,MATCH(K12,$G$1:$J$1,0))</f>
        <v/>
      </c>
      <c r="M12" s="6" t="inlineStr">
        <is>
          <t>A is correct because the passage explores both the advantages and dangers of facial recognition technology. The author notes its convenience and efficiency but also raises concerns about privacy and surveillance. B goes too far by calling for a ban, which the passage never suggests. C captures only one part of the issue by focusing on accuracy, and D misrepresents the author's point since the London system is not described as completely reliable.</t>
        </is>
      </c>
    </row>
    <row r="13" ht="76" customHeight="1">
      <c r="A13" s="5" t="n">
        <v>146</v>
      </c>
      <c r="B13" s="5" t="n">
        <v>3</v>
      </c>
      <c r="C13" s="6" t="inlineStr">
        <is>
          <t>The Double Edge of Facial Recognition</t>
        </is>
      </c>
      <c r="D13" s="6" t="inlineStr">
        <is>
          <t>article</t>
        </is>
      </c>
      <c r="E13" s="6" t="inlineStr">
        <is>
          <t>vocabulary</t>
        </is>
      </c>
      <c r="F13" s="6" t="inlineStr">
        <is>
          <t>The word “ambitious” in the passage is closest in meaning to</t>
        </is>
      </c>
      <c r="G13" s="6" t="inlineStr">
        <is>
          <t>reliable</t>
        </is>
      </c>
      <c r="H13" s="6" t="inlineStr">
        <is>
          <t>careful</t>
        </is>
      </c>
      <c r="I13" s="6" t="inlineStr">
        <is>
          <t>secret</t>
        </is>
      </c>
      <c r="J13" s="6" t="inlineStr">
        <is>
          <t>extensive</t>
        </is>
      </c>
      <c r="K13" s="20" t="inlineStr">
        <is>
          <t>D</t>
        </is>
      </c>
      <c r="L13" s="21">
        <f>INDEX(G13:J13,MATCH(K13,$G$1:$J$1,0))</f>
        <v/>
      </c>
      <c r="M13" s="6" t="inlineStr">
        <is>
          <t>D is correct because “ambitious” describes the scale of London's facial recognition network, meaning extensive or far-reaching. Reliable and careful do not fit the context, and secret is opposite in meaning since the program operates publicly on city streets.</t>
        </is>
      </c>
    </row>
    <row r="14" ht="76" customHeight="1">
      <c r="A14" s="5" t="n">
        <v>147</v>
      </c>
      <c r="B14" s="5" t="n">
        <v>3</v>
      </c>
      <c r="C14" s="6" t="inlineStr">
        <is>
          <t>The Double Edge of Facial Recognition</t>
        </is>
      </c>
      <c r="D14" s="6" t="inlineStr">
        <is>
          <t>article</t>
        </is>
      </c>
      <c r="E14" s="6" t="inlineStr">
        <is>
          <t>rhetorical purpose</t>
        </is>
      </c>
      <c r="F14" s="6" t="inlineStr">
        <is>
          <t>Why does the author mention the city of London?</t>
        </is>
      </c>
      <c r="G14" s="6" t="inlineStr">
        <is>
          <t>To describe the first city to ban facial recognition technology</t>
        </is>
      </c>
      <c r="H14" s="6" t="inlineStr">
        <is>
          <t>To provide an example of facial recognition in a real-world setting</t>
        </is>
      </c>
      <c r="I14" s="6" t="inlineStr">
        <is>
          <t>To explain how civil rights groups have tried to ban the use of facial recognition</t>
        </is>
      </c>
      <c r="J14" s="6" t="inlineStr">
        <is>
          <t>To show that facial recognition is effective in identifying criminals</t>
        </is>
      </c>
      <c r="K14" s="20" t="inlineStr">
        <is>
          <t>B</t>
        </is>
      </c>
      <c r="L14" s="21">
        <f>INDEX(G14:J14,MATCH(K14,$G$1:$J$1,0))</f>
        <v/>
      </c>
      <c r="M14" s="6" t="inlineStr">
        <is>
          <t>B is correct because London is used as a real-world example of how facial recognition is being applied. The author describes its large-scale use and the debate surrounding it. A is inaccurate since London has not banned the technology. C and D each focus on only one side of the issue rather than the balanced discussion presented in the passage.</t>
        </is>
      </c>
    </row>
    <row r="15" ht="76" customHeight="1">
      <c r="A15" s="5" t="n">
        <v>148</v>
      </c>
      <c r="B15" s="5" t="n">
        <v>3</v>
      </c>
      <c r="C15" s="6" t="inlineStr">
        <is>
          <t>The Double Edge of Facial Recognition</t>
        </is>
      </c>
      <c r="D15" s="6" t="inlineStr">
        <is>
          <t>article</t>
        </is>
      </c>
      <c r="E15" s="6" t="inlineStr">
        <is>
          <t>detail</t>
        </is>
      </c>
      <c r="F15" s="6" t="inlineStr">
        <is>
          <t>According to the passage, what advantage do airports gain by using facial recognition?</t>
        </is>
      </c>
      <c r="G15" s="6" t="inlineStr">
        <is>
          <t>It allows passengers to verify their identity without traditional documents.</t>
        </is>
      </c>
      <c r="H15" s="6" t="inlineStr">
        <is>
          <t>It minimizes the need for airport security checks.</t>
        </is>
      </c>
      <c r="I15" s="6" t="inlineStr">
        <is>
          <t>It increases the efficiency of the check-in process through advanced screenings.</t>
        </is>
      </c>
      <c r="J15" s="6" t="inlineStr">
        <is>
          <t>It ensures that these systems have been tested to identify the right people.</t>
        </is>
      </c>
      <c r="K15" s="20" t="inlineStr">
        <is>
          <t>A</t>
        </is>
      </c>
      <c r="L15" s="21">
        <f>INDEX(G15:J15,MATCH(K15,$G$1:$J$1,0))</f>
        <v/>
      </c>
      <c r="M15" s="6" t="inlineStr">
        <is>
          <t>A is correct because the opening paragraph explains that airports allow passengers to board “by looking at a camera,” reducing the need for tickets or cards. This shows that passengers can verify their identity without physical documents. The ideas in B and C are partly related but exaggerated, and D is never mentioned.</t>
        </is>
      </c>
    </row>
    <row r="16" ht="76" customHeight="1">
      <c r="A16" s="5" t="n">
        <v>149</v>
      </c>
      <c r="B16" s="5" t="n">
        <v>3</v>
      </c>
      <c r="C16" s="6" t="inlineStr">
        <is>
          <t>The Double Edge of Facial Recognition</t>
        </is>
      </c>
      <c r="D16" s="6" t="inlineStr">
        <is>
          <t>article</t>
        </is>
      </c>
      <c r="E16" s="6" t="inlineStr">
        <is>
          <t>inference</t>
        </is>
      </c>
      <c r="F16" s="6" t="inlineStr">
        <is>
          <t>What can be inferred about the author's view of facial recognition technology?</t>
        </is>
      </c>
      <c r="G16" s="6" t="inlineStr">
        <is>
          <t>It will likely replace all existing forms of personal identification.</t>
        </is>
      </c>
      <c r="H16" s="6" t="inlineStr">
        <is>
          <t>Its impact depends on how responsible societies are in implementing it.</t>
        </is>
      </c>
      <c r="I16" s="6" t="inlineStr">
        <is>
          <t>Its risks are exaggerated compared with traditional surveillance systems.</t>
        </is>
      </c>
      <c r="J16" s="6" t="inlineStr">
        <is>
          <t>It benefits society as a whole even though some groups are against it.</t>
        </is>
      </c>
      <c r="K16" s="20" t="inlineStr">
        <is>
          <t>B</t>
        </is>
      </c>
      <c r="L16" s="21">
        <f>INDEX(G16:J16,MATCH(K16,$G$1:$J$1,0))</f>
        <v/>
      </c>
      <c r="M16" s="6" t="inlineStr">
        <is>
          <t>B is correct because the author concludes that the impact of facial recognition “depends not only on its accuracy but on the values guiding its use.” This implies that responsible implementation determines whether it becomes protective or invasive. A is incorrect since the passage does not predict total replacement of identification systems. C is wrong because the risks are taken seriously, not dismissed. D is partly true but ignores the author's caution about ethical use.</t>
        </is>
      </c>
    </row>
    <row r="17" ht="76" customHeight="1">
      <c r="A17" s="15" t="n">
        <v>150</v>
      </c>
      <c r="B17" s="15" t="n">
        <v>4</v>
      </c>
      <c r="C17" s="22" t="inlineStr">
        <is>
          <t>The Pull of Nostalgia</t>
        </is>
      </c>
      <c r="D17" s="22" t="inlineStr">
        <is>
          <t>article</t>
        </is>
      </c>
      <c r="E17" s="22" t="inlineStr">
        <is>
          <t>negative fact</t>
        </is>
      </c>
      <c r="F17" s="22" t="inlineStr">
        <is>
          <t>All of the following are mentioned as ways nostalgia can be triggered EXCEPT</t>
        </is>
      </c>
      <c r="G17" s="22" t="inlineStr">
        <is>
          <t>Hearing familiar songs</t>
        </is>
      </c>
      <c r="H17" s="22" t="inlineStr">
        <is>
          <t>Discussing shared experiences</t>
        </is>
      </c>
      <c r="I17" s="22" t="inlineStr">
        <is>
          <t>Viewing childhood photos</t>
        </is>
      </c>
      <c r="J17" s="22" t="inlineStr">
        <is>
          <t>Reading old letters</t>
        </is>
      </c>
      <c r="K17" s="23" t="inlineStr">
        <is>
          <t>B</t>
        </is>
      </c>
      <c r="L17" s="24">
        <f>INDEX(G17:J17,MATCH(K17,$G$1:$J$1,0))</f>
        <v/>
      </c>
      <c r="M17" s="22" t="inlineStr">
        <is>
          <t>B is correct because discussing shared experiences is not listed among the ways nostalgia can be triggered. The passage specifically mentions listening to songs, reading letters, and viewing childhood photos. Hearing music, reading, and seeing images all appear in the text, while conversation does not.</t>
        </is>
      </c>
    </row>
    <row r="18" ht="76" customHeight="1">
      <c r="A18" s="15" t="n">
        <v>151</v>
      </c>
      <c r="B18" s="15" t="n">
        <v>4</v>
      </c>
      <c r="C18" s="22" t="inlineStr">
        <is>
          <t>The Pull of Nostalgia</t>
        </is>
      </c>
      <c r="D18" s="22" t="inlineStr">
        <is>
          <t>article</t>
        </is>
      </c>
      <c r="E18" s="22" t="inlineStr">
        <is>
          <t>detail</t>
        </is>
      </c>
      <c r="F18" s="22" t="inlineStr">
        <is>
          <t>What shift in understanding about nostalgia is described in the passage?</t>
        </is>
      </c>
      <c r="G18" s="22" t="inlineStr">
        <is>
          <t>It is now regarded as a sign of emotional intelligence.</t>
        </is>
      </c>
      <c r="H18" s="22" t="inlineStr">
        <is>
          <t>It has been viewed as a form of homesickness.</t>
        </is>
      </c>
      <c r="I18" s="22" t="inlineStr">
        <is>
          <t>It was thought of as an ideal way to hold bittersweet memories.</t>
        </is>
      </c>
      <c r="J18" s="22" t="inlineStr">
        <is>
          <t>It was once considered unhealthy.</t>
        </is>
      </c>
      <c r="K18" s="23" t="inlineStr">
        <is>
          <t>D</t>
        </is>
      </c>
      <c r="L18" s="24">
        <f>INDEX(G18:J18,MATCH(K18,$G$1:$J$1,0))</f>
        <v/>
      </c>
      <c r="M18" s="22" t="inlineStr">
        <is>
          <t>D is correct since the passage states that nostalgia “was once viewed as a kind of illness” but is now recognized as beneficial. This shows a shift from being seen as unhealthy to being understood as emotionally positive. A is incorrect because the text never links nostalgia to emotional intelligence. B is misleading since homesickness was the earlier interpretation, not the current one. C does not make grammatical or logical sense in this context.</t>
        </is>
      </c>
    </row>
    <row r="19" ht="76" customHeight="1">
      <c r="A19" s="15" t="n">
        <v>152</v>
      </c>
      <c r="B19" s="15" t="n">
        <v>4</v>
      </c>
      <c r="C19" s="22" t="inlineStr">
        <is>
          <t>The Pull of Nostalgia</t>
        </is>
      </c>
      <c r="D19" s="22" t="inlineStr">
        <is>
          <t>article</t>
        </is>
      </c>
      <c r="E19" s="22" t="inlineStr">
        <is>
          <t>connect ideas</t>
        </is>
      </c>
      <c r="F19" s="22" t="inlineStr">
        <is>
          <t>What is the relationship between paragraphs 2 and 3?</t>
        </is>
      </c>
      <c r="G19" s="22" t="inlineStr">
        <is>
          <t>Paragraph 3 provides additional evidence to support paragraph 2.</t>
        </is>
      </c>
      <c r="H19" s="22" t="inlineStr">
        <is>
          <t>Paragraph 3 challenges the psychological findings presented in paragraph 2.</t>
        </is>
      </c>
      <c r="I19" s="22" t="inlineStr">
        <is>
          <t>Paragraph 3 builds on the examples in paragraph 2.</t>
        </is>
      </c>
      <c r="J19" s="22" t="inlineStr">
        <is>
          <t>Paragraph 3 introduces a topic about emotional memory.</t>
        </is>
      </c>
      <c r="K19" s="23" t="inlineStr">
        <is>
          <t>A</t>
        </is>
      </c>
      <c r="L19" s="24">
        <f>INDEX(G19:J19,MATCH(K19,$G$1:$J$1,0))</f>
        <v/>
      </c>
      <c r="M19" s="22" t="inlineStr">
        <is>
          <t>A is correct because the third paragraph extends the discussion from paragraph two, reinforcing how nostalgia improves well-being. After describing studies in paragraph two, paragraph three explains how these effects build resilience and stability. The other options do not fit since there is no contradiction or new topic introduced.</t>
        </is>
      </c>
    </row>
    <row r="20" ht="76" customHeight="1">
      <c r="A20" s="15" t="n">
        <v>153</v>
      </c>
      <c r="B20" s="15" t="n">
        <v>4</v>
      </c>
      <c r="C20" s="22" t="inlineStr">
        <is>
          <t>The Pull of Nostalgia</t>
        </is>
      </c>
      <c r="D20" s="22" t="inlineStr">
        <is>
          <t>article</t>
        </is>
      </c>
      <c r="E20" s="22" t="inlineStr">
        <is>
          <t>vocabulary</t>
        </is>
      </c>
      <c r="F20" s="22" t="inlineStr">
        <is>
          <t>The word “reaffirms” in the passage is closest in meaning to</t>
        </is>
      </c>
      <c r="G20" s="22" t="inlineStr">
        <is>
          <t>replaces</t>
        </is>
      </c>
      <c r="H20" s="22" t="inlineStr">
        <is>
          <t>recalls</t>
        </is>
      </c>
      <c r="I20" s="22" t="inlineStr">
        <is>
          <t>strengthens</t>
        </is>
      </c>
      <c r="J20" s="22" t="inlineStr">
        <is>
          <t>questions</t>
        </is>
      </c>
      <c r="K20" s="23" t="inlineStr">
        <is>
          <t>C</t>
        </is>
      </c>
      <c r="L20" s="24">
        <f>INDEX(G20:J20,MATCH(K20,$G$1:$J$1,0))</f>
        <v/>
      </c>
      <c r="M20" s="22" t="inlineStr">
        <is>
          <t>C is correct because “reaffirms” means strengthens or reinforces. The author says nostalgia “reaffirms what endures,” emphasizing continuity rather than replacement or questioning. The other choices do not match this meaning.</t>
        </is>
      </c>
    </row>
    <row r="21" ht="76" customHeight="1">
      <c r="A21" s="15" t="n">
        <v>154</v>
      </c>
      <c r="B21" s="15" t="n">
        <v>4</v>
      </c>
      <c r="C21" s="22" t="inlineStr">
        <is>
          <t>The Pull of Nostalgia</t>
        </is>
      </c>
      <c r="D21" s="22" t="inlineStr">
        <is>
          <t>article</t>
        </is>
      </c>
      <c r="E21" s="22" t="inlineStr">
        <is>
          <t>inference</t>
        </is>
      </c>
      <c r="F21" s="22" t="inlineStr">
        <is>
          <t>What can be inferred about nostalgia based on the passage?</t>
        </is>
      </c>
      <c r="G21" s="22" t="inlineStr">
        <is>
          <t>It functions mainly as an emotional coping mechanism for grief.</t>
        </is>
      </c>
      <c r="H21" s="22" t="inlineStr">
        <is>
          <t>It prevents individuals from adapting to change in their daily lives.</t>
        </is>
      </c>
      <c r="I21" s="22" t="inlineStr">
        <is>
          <t>It helps people create a sense of continuity between their past and present.</t>
        </is>
      </c>
      <c r="J21" s="22" t="inlineStr">
        <is>
          <t>It is considered healthy when done under supervision.</t>
        </is>
      </c>
      <c r="K21" s="23" t="inlineStr">
        <is>
          <t>C</t>
        </is>
      </c>
      <c r="L21" s="24">
        <f>INDEX(G21:J21,MATCH(K21,$G$1:$J$1,0))</f>
        <v/>
      </c>
      <c r="M21" s="22" t="inlineStr">
        <is>
          <t>C is correct since the passage suggests that nostalgia helps people maintain “a sense of continuity between their younger and present selves.” It functions as a link that integrates the past into present life. A is not accurate because the passage focuses on resilience rather than grief. B is the opposite of the author's view, and D is unsupported since therapy or supervision is never mentioned.</t>
        </is>
      </c>
    </row>
    <row r="22" ht="76" customHeight="1">
      <c r="A22" s="5" t="n">
        <v>155</v>
      </c>
      <c r="B22" s="5" t="n">
        <v>5</v>
      </c>
      <c r="C22" s="6" t="inlineStr">
        <is>
          <t>The Rise of the Telegraph</t>
        </is>
      </c>
      <c r="D22" s="6" t="inlineStr">
        <is>
          <t>article</t>
        </is>
      </c>
      <c r="E22" s="6" t="inlineStr">
        <is>
          <t>negative fact</t>
        </is>
      </c>
      <c r="F22" s="6" t="inlineStr">
        <is>
          <t>All of the following are mentioned in the passage as effects of the telegraph EXCEPT —</t>
        </is>
      </c>
      <c r="G22" s="6" t="inlineStr">
        <is>
          <t>The spread of international communication</t>
        </is>
      </c>
      <c r="H22" s="6" t="inlineStr">
        <is>
          <t>Quicker reporting of news events</t>
        </is>
      </c>
      <c r="I22" s="6" t="inlineStr">
        <is>
          <t>Improvements in transportation speed</t>
        </is>
      </c>
      <c r="J22" s="6" t="inlineStr">
        <is>
          <t>Changes in political and commercial life</t>
        </is>
      </c>
      <c r="K22" s="20" t="inlineStr">
        <is>
          <t>C</t>
        </is>
      </c>
      <c r="L22" s="21">
        <f>INDEX(G22:J22,MATCH(K22,$G$1:$J$1,0))</f>
        <v/>
      </c>
      <c r="M22" s="6" t="inlineStr">
        <is>
          <t>C is correct because improvements in transportation speed are not discussed as an effect of the telegraph. The passage describes faster communication, political and commercial changes, and international connections, but it never claims that transportation itself became faster.</t>
        </is>
      </c>
    </row>
    <row r="23" ht="76" customHeight="1">
      <c r="A23" s="5" t="n">
        <v>156</v>
      </c>
      <c r="B23" s="5" t="n">
        <v>5</v>
      </c>
      <c r="C23" s="6" t="inlineStr">
        <is>
          <t>The Rise of the Telegraph</t>
        </is>
      </c>
      <c r="D23" s="6" t="inlineStr">
        <is>
          <t>article</t>
        </is>
      </c>
      <c r="E23" s="6" t="inlineStr">
        <is>
          <t>vocabulary</t>
        </is>
      </c>
      <c r="F23" s="6" t="inlineStr">
        <is>
          <t>The word “compressed” in the passage is closest in meaning to</t>
        </is>
      </c>
      <c r="G23" s="6" t="inlineStr">
        <is>
          <t>weakened</t>
        </is>
      </c>
      <c r="H23" s="6" t="inlineStr">
        <is>
          <t>shortened</t>
        </is>
      </c>
      <c r="I23" s="6" t="inlineStr">
        <is>
          <t>expanded</t>
        </is>
      </c>
      <c r="J23" s="6" t="inlineStr">
        <is>
          <t>delayed</t>
        </is>
      </c>
      <c r="K23" s="20" t="inlineStr">
        <is>
          <t>B</t>
        </is>
      </c>
      <c r="L23" s="21">
        <f>INDEX(G23:J23,MATCH(K23,$G$1:$J$1,0))</f>
        <v/>
      </c>
      <c r="M23" s="6" t="inlineStr">
        <is>
          <t>B is correct because “compressed” in this context means shortened or made smaller. The author writes that “the telegraph compressed the world,” referring to how it reduced the time needed to share information. Weakened and delayed express the opposite meaning, and expanded does not fit the idea of bringing distances closer.</t>
        </is>
      </c>
    </row>
    <row r="24" ht="76" customHeight="1">
      <c r="A24" s="5" t="n">
        <v>157</v>
      </c>
      <c r="B24" s="5" t="n">
        <v>5</v>
      </c>
      <c r="C24" s="6" t="inlineStr">
        <is>
          <t>The Rise of the Telegraph</t>
        </is>
      </c>
      <c r="D24" s="6" t="inlineStr">
        <is>
          <t>article</t>
        </is>
      </c>
      <c r="E24" s="6" t="inlineStr">
        <is>
          <t>rhetorical purpose</t>
        </is>
      </c>
      <c r="F24" s="6" t="inlineStr">
        <is>
          <t>Why does the author mention Samuel Morse?</t>
        </is>
      </c>
      <c r="G24" s="6" t="inlineStr">
        <is>
          <t>To identify the inventor who developed the first large-scale telegraph network</t>
        </is>
      </c>
      <c r="H24" s="6" t="inlineStr">
        <is>
          <t>To compare his invention with earlier systems of long-distance communication</t>
        </is>
      </c>
      <c r="I24" s="6" t="inlineStr">
        <is>
          <t>To show how his work improved military technology</t>
        </is>
      </c>
      <c r="J24" s="6" t="inlineStr">
        <is>
          <t>To explain why his code was later replaced by the telephone</t>
        </is>
      </c>
      <c r="K24" s="20" t="inlineStr">
        <is>
          <t>A</t>
        </is>
      </c>
      <c r="L24" s="21">
        <f>INDEX(G24:J24,MATCH(K24,$G$1:$J$1,0))</f>
        <v/>
      </c>
      <c r="M24" s="6" t="inlineStr">
        <is>
          <t>A is correct because Samuel Morse is introduced as the inventor who created the first major telegraph network in the 1840s. The passage credits him for developing Morse code and explains how his system transformed communication. The remaining options misrepresent the author's intent, as the text does not compare, replace, or limit his contribution.</t>
        </is>
      </c>
    </row>
    <row r="25" ht="76" customHeight="1">
      <c r="A25" s="5" t="n">
        <v>158</v>
      </c>
      <c r="B25" s="5" t="n">
        <v>5</v>
      </c>
      <c r="C25" s="6" t="inlineStr">
        <is>
          <t>The Rise of the Telegraph</t>
        </is>
      </c>
      <c r="D25" s="6" t="inlineStr">
        <is>
          <t>article</t>
        </is>
      </c>
      <c r="E25" s="6" t="inlineStr">
        <is>
          <t>inference</t>
        </is>
      </c>
      <c r="F25" s="6" t="inlineStr">
        <is>
          <t>What can be inferred about communication before the telegraph?</t>
        </is>
      </c>
      <c r="G25" s="6" t="inlineStr">
        <is>
          <t>It involved widespread use of coded signals.</t>
        </is>
      </c>
      <c r="H25" s="6" t="inlineStr">
        <is>
          <t>It was faster but less reliable than later systems.</t>
        </is>
      </c>
      <c r="I25" s="6" t="inlineStr">
        <is>
          <t>It relied entirely on transportation speed to deliver messages.</t>
        </is>
      </c>
      <c r="J25" s="6" t="inlineStr">
        <is>
          <t>It required coordination between countries through trade networks.</t>
        </is>
      </c>
      <c r="K25" s="20" t="inlineStr">
        <is>
          <t>C</t>
        </is>
      </c>
      <c r="L25" s="21">
        <f>INDEX(G25:J25,MATCH(K25,$G$1:$J$1,0))</f>
        <v/>
      </c>
      <c r="M25" s="6" t="inlineStr">
        <is>
          <t>C is correct because the first paragraph makes it clear that before the telegraph, messages traveled only as fast as physical transportation allowed, whether by horse or ship. The other options are inaccurate since there is no mention of coded systems, higher reliability, or international coordination at that stage.</t>
        </is>
      </c>
    </row>
    <row r="26" ht="76" customHeight="1">
      <c r="A26" s="5" t="n">
        <v>159</v>
      </c>
      <c r="B26" s="5" t="n">
        <v>5</v>
      </c>
      <c r="C26" s="6" t="inlineStr">
        <is>
          <t>The Rise of the Telegraph</t>
        </is>
      </c>
      <c r="D26" s="6" t="inlineStr">
        <is>
          <t>article</t>
        </is>
      </c>
      <c r="E26" s="6" t="inlineStr">
        <is>
          <t>connect ideas</t>
        </is>
      </c>
      <c r="F26" s="6" t="inlineStr">
        <is>
          <t>What is the relationship between paragraphs 2 and 3?</t>
        </is>
      </c>
      <c r="G26" s="6" t="inlineStr">
        <is>
          <t>Paragraph 3 provides detailed examples of how Morse's code was transmitted.</t>
        </is>
      </c>
      <c r="H26" s="6" t="inlineStr">
        <is>
          <t>Paragraph 3 contrasts the telegraph with newer communication inventions.</t>
        </is>
      </c>
      <c r="I26" s="6" t="inlineStr">
        <is>
          <t>Paragraph 3 introduces problems caused by the telegraph's invention.</t>
        </is>
      </c>
      <c r="J26" s="6" t="inlineStr">
        <is>
          <t>Paragraph 3 explains the broader impact of the developments described in paragraph 2.</t>
        </is>
      </c>
      <c r="K26" s="20" t="inlineStr">
        <is>
          <t>D</t>
        </is>
      </c>
      <c r="L26" s="21">
        <f>INDEX(G26:J26,MATCH(K26,$G$1:$J$1,0))</f>
        <v/>
      </c>
      <c r="M26" s="6" t="inlineStr">
        <is>
          <t>D is correct because the third paragraph expands on the developments described earlier, explaining how the telegraph's invention influenced politics, business, and daily life. The new paragraph shifts from historical detail to overall impact. The other options do not fit since there are no transmission examples, contrasts with newer inventions, or major problems described.</t>
        </is>
      </c>
    </row>
  </sheetData>
  <autoFilter ref="A1:M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30" customWidth="1" min="3" max="3"/>
    <col width="13" customWidth="1" min="4" max="4"/>
    <col width="34" customWidth="1" min="5" max="5"/>
    <col width="12" customWidth="1" min="6" max="6"/>
    <col width="110" customWidth="1" min="7" max="7"/>
  </cols>
  <sheetData>
    <row r="1" ht="28" customHeight="1">
      <c r="A1" s="3" t="inlineStr">
        <is>
          <t>Set</t>
        </is>
      </c>
      <c r="B1" s="3" t="inlineStr">
        <is>
          <t>Section</t>
        </is>
      </c>
      <c r="C1" s="3" t="inlineStr">
        <is>
          <t>Title</t>
        </is>
      </c>
      <c r="D1" s="3" t="inlineStr">
        <is>
          <t>Format</t>
        </is>
      </c>
      <c r="E1" s="3" t="inlineStr">
        <is>
          <t>Directions</t>
        </is>
      </c>
      <c r="F1" s="3" t="inlineStr">
        <is>
          <t>Questions</t>
        </is>
      </c>
      <c r="G1" s="3" t="inlineStr">
        <is>
          <t>Full text</t>
        </is>
      </c>
    </row>
    <row r="2" ht="150" customHeight="1">
      <c r="A2" s="25" t="inlineStr">
        <is>
          <t>dl-1</t>
        </is>
      </c>
      <c r="B2" s="6" t="inlineStr">
        <is>
          <t>Read in Daily Life</t>
        </is>
      </c>
      <c r="C2" s="19" t="inlineStr">
        <is>
          <t>Textbook Collection Reminder</t>
        </is>
      </c>
      <c r="D2" s="5" t="inlineStr">
        <is>
          <t>email</t>
        </is>
      </c>
      <c r="E2" s="6" t="inlineStr">
        <is>
          <t>Read an email.</t>
        </is>
      </c>
      <c r="F2" s="5" t="inlineStr">
        <is>
          <t>101–102</t>
        </is>
      </c>
      <c r="G2" s="6" t="inlineStr">
        <is>
          <t>Subject: Textbook Collection Reminder
Dear Students,
If you rented textbooks this semester, please return them to the campus bookstore by December 18. Late returns will result in a small fine. Students who have lost a book should email the bookstore for instructions before the deadline.
Best,
Mimi Chen</t>
        </is>
      </c>
    </row>
    <row r="3" ht="150" customHeight="1">
      <c r="A3" s="25" t="inlineStr">
        <is>
          <t>dl-2</t>
        </is>
      </c>
      <c r="B3" s="6" t="inlineStr">
        <is>
          <t>Read in Daily Life</t>
        </is>
      </c>
      <c r="C3" s="19" t="inlineStr">
        <is>
          <t>Office Parking Update</t>
        </is>
      </c>
      <c r="D3" s="5" t="inlineStr">
        <is>
          <t>email</t>
        </is>
      </c>
      <c r="E3" s="6" t="inlineStr">
        <is>
          <t>Read an email.</t>
        </is>
      </c>
      <c r="F3" s="5" t="inlineStr">
        <is>
          <t>103–104</t>
        </is>
      </c>
      <c r="G3" s="6" t="inlineStr">
        <is>
          <t>Subject: Office Parking Update
Dear Team,
Starting Monday, the main parking lot will be reserved for visitors only. Employees should park in the lot behind Building B instead. Please update your parking passes by Friday to avoid any issues next week. Security staff will be checking passes at the gate during the first week of this change.
Kind regards,
Tom Hardwick</t>
        </is>
      </c>
    </row>
    <row r="4" ht="150" customHeight="1">
      <c r="A4" s="25" t="inlineStr">
        <is>
          <t>dl-3</t>
        </is>
      </c>
      <c r="B4" s="6" t="inlineStr">
        <is>
          <t>Read in Daily Life</t>
        </is>
      </c>
      <c r="C4" s="19" t="inlineStr">
        <is>
          <t>Staff Training Confirmation</t>
        </is>
      </c>
      <c r="D4" s="5" t="inlineStr">
        <is>
          <t>email</t>
        </is>
      </c>
      <c r="E4" s="6" t="inlineStr">
        <is>
          <t>Read an email.</t>
        </is>
      </c>
      <c r="F4" s="5" t="inlineStr">
        <is>
          <t>105–106</t>
        </is>
      </c>
      <c r="G4" s="6" t="inlineStr">
        <is>
          <t>Subject: Staff Training Confirmation
Dear Ms. Forester,
Your registration for the customer service training on August 10 has been confirmed. The session will begin at 9:00 a.m. in Conference Room 3. Please bring your ID badge. Refreshments will be provided, but lunch is not included.
Sincerely,
Ahmed Khan</t>
        </is>
      </c>
    </row>
    <row r="5" ht="150" customHeight="1">
      <c r="A5" s="25" t="inlineStr">
        <is>
          <t>dl-4</t>
        </is>
      </c>
      <c r="B5" s="6" t="inlineStr">
        <is>
          <t>Read in Daily Life</t>
        </is>
      </c>
      <c r="C5" s="19" t="inlineStr">
        <is>
          <t>Building C Elevator Service</t>
        </is>
      </c>
      <c r="D5" s="5" t="inlineStr">
        <is>
          <t>notice</t>
        </is>
      </c>
      <c r="E5" s="6" t="inlineStr">
        <is>
          <t>Read an announcement.</t>
        </is>
      </c>
      <c r="F5" s="5" t="inlineStr">
        <is>
          <t>107–108</t>
        </is>
      </c>
      <c r="G5" s="6" t="inlineStr">
        <is>
          <t>The elevator in Building C will be out of service all day on Wednesday, June 12, for a full safety inspection and routine maintenance. Employees who work on upper floors should plan accordingly by using the stairs or accessing Building D, which has a functioning elevator. Signs will be posted near the main lobby to guide staff to alternative routes.</t>
        </is>
      </c>
    </row>
    <row r="6" ht="150" customHeight="1">
      <c r="A6" s="25" t="inlineStr">
        <is>
          <t>dl-5</t>
        </is>
      </c>
      <c r="B6" s="6" t="inlineStr">
        <is>
          <t>Read in Daily Life</t>
        </is>
      </c>
      <c r="C6" s="19" t="inlineStr">
        <is>
          <t>Customer Service Hotline Hours</t>
        </is>
      </c>
      <c r="D6" s="5" t="inlineStr">
        <is>
          <t>notice</t>
        </is>
      </c>
      <c r="E6" s="6" t="inlineStr">
        <is>
          <t>Read an announcement.</t>
        </is>
      </c>
      <c r="F6" s="5" t="inlineStr">
        <is>
          <t>109–110</t>
        </is>
      </c>
      <c r="G6" s="6" t="inlineStr">
        <is>
          <t>The customer service hotline will operate under new hours beginning October 3. Representatives will be available from 9:00 a.m. to 6:00 p.m., Monday through Saturday. Although the schedule has been extended by one hour each evening, Sunday service will remain unavailable. Customers are encouraged to use the online help form outside business hours.</t>
        </is>
      </c>
    </row>
    <row r="7" ht="150" customHeight="1">
      <c r="A7" s="25" t="inlineStr">
        <is>
          <t>dl-6</t>
        </is>
      </c>
      <c r="B7" s="6" t="inlineStr">
        <is>
          <t>Read in Daily Life</t>
        </is>
      </c>
      <c r="C7" s="19" t="inlineStr">
        <is>
          <t>Open-House Volunteer Schedule</t>
        </is>
      </c>
      <c r="D7" s="5" t="inlineStr">
        <is>
          <t>chat</t>
        </is>
      </c>
      <c r="E7" s="6" t="inlineStr">
        <is>
          <t>Read a text chain.</t>
        </is>
      </c>
      <c r="F7" s="5" t="inlineStr">
        <is>
          <t>111–113</t>
        </is>
      </c>
      <c r="G7" s="6" t="inlineStr">
        <is>
          <t>Priya Singh (2:00 P.M.): Hi everyone, just a reminder that the volunteer schedule for Saturday's campus open-house event needs to be finalized today.
Jun Kim (2:04 P.M.): I've already confirmed the morning shift with three students from the debate club.
Mimi Chen (2:06 P.M.): Great! I'll handle the afternoon shift sign-ups. Should I assign two people to each information table again?
Priya Singh (2:08 P.M.): Yes, please. Also, make sure one volunteer at each table knows how to log visitor check-ins on the tablet.
Marco Mercado (2:10 P.M.): I can run a quick demo session tomorrow morning to show everyone how the app works.
Priya Singh (2:12 P.M.): Perfect, Marco. That should prevent the confusion we had at last semester's event. Thanks, everyone.</t>
        </is>
      </c>
    </row>
    <row r="8" ht="150" customHeight="1">
      <c r="A8" s="25" t="inlineStr">
        <is>
          <t>dl-7</t>
        </is>
      </c>
      <c r="B8" s="6" t="inlineStr">
        <is>
          <t>Read in Daily Life</t>
        </is>
      </c>
      <c r="C8" s="19" t="inlineStr">
        <is>
          <t>EcoBlend Shipment Delay</t>
        </is>
      </c>
      <c r="D8" s="5" t="inlineStr">
        <is>
          <t>chat</t>
        </is>
      </c>
      <c r="E8" s="6" t="inlineStr">
        <is>
          <t>Read a text chain.</t>
        </is>
      </c>
      <c r="F8" s="5" t="inlineStr">
        <is>
          <t>114–116</t>
        </is>
      </c>
      <c r="G8" s="6" t="inlineStr">
        <is>
          <t>Olga Antonov (9:00 A.M.): Morning team. The shipment of EcoBlend mugs was delayed due to the storm. We need to update our customers right away.
Luis Fernandez (9:03 A.M.): I'll email all wholesale clients explaining the new delivery date. Do we know when the shipment will arrive?
Olga Antonov (9:05 A.M.): The supplier expects delivery on Thursday instead of Tuesday.
Yasmin Hasan (9:08 A.M.): Should I also post an announcement on our website and social media pages?
Olga Antonov (9:10 A.M.): Yes, please do. Keep the message positive—mention the weather issue but emphasize that orders will ship later this week.
Ahmed Khan (9:12 A.M.): Got it. I'll adjust the inventory page so customers can't place new mug orders until Thursday.
Olga Antonov (9:14 A.M.): Thanks, everyone. Let's avoid the kind of confusion we had during last month's delay.</t>
        </is>
      </c>
    </row>
    <row r="9" ht="150" customHeight="1">
      <c r="A9" s="25" t="inlineStr">
        <is>
          <t>dl-8</t>
        </is>
      </c>
      <c r="B9" s="6" t="inlineStr">
        <is>
          <t>Read in Daily Life</t>
        </is>
      </c>
      <c r="C9" s="19" t="inlineStr">
        <is>
          <t>Conference Slide Deck</t>
        </is>
      </c>
      <c r="D9" s="5" t="inlineStr">
        <is>
          <t>chat</t>
        </is>
      </c>
      <c r="E9" s="6" t="inlineStr">
        <is>
          <t>Read a text chain.</t>
        </is>
      </c>
      <c r="F9" s="5" t="inlineStr">
        <is>
          <t>117–119</t>
        </is>
      </c>
      <c r="G9" s="6" t="inlineStr">
        <is>
          <t>Michelle Gerber (11:00 A.M.): Hi team, just checking—has everyone uploaded their slides for the environmental conference next week?
Hiro Matsumoto (11:03 A.M.): I uploaded mine last night. It focuses on the data from our recycling pilot program.
Ela Dogan (11:05 A.M.): I'm still adjusting a few charts, but I'll upload my file before the end of the day.
Michelle Gerber (11:07 A.M.): Great, thank you. I'll combine all the slides into one deck so the transitions look consistent.
Alex Petrov (11:10 A.M.): Should we include the community outreach results, or would that make the presentation too long?
Michelle Gerber (11:13 A.M.): Good question. Let's skip them for now—there's only ten minutes for our session, and we don't want to rush.</t>
        </is>
      </c>
    </row>
    <row r="10" ht="150" customHeight="1">
      <c r="A10" s="25" t="inlineStr">
        <is>
          <t>dl-9</t>
        </is>
      </c>
      <c r="B10" s="6" t="inlineStr">
        <is>
          <t>Read in Daily Life</t>
        </is>
      </c>
      <c r="C10" s="19" t="inlineStr">
        <is>
          <t>Academic Mentorship Program</t>
        </is>
      </c>
      <c r="D10" s="5" t="inlineStr">
        <is>
          <t>email</t>
        </is>
      </c>
      <c r="E10" s="6" t="inlineStr">
        <is>
          <t>Read an email.</t>
        </is>
      </c>
      <c r="F10" s="5" t="inlineStr">
        <is>
          <t>120–122</t>
        </is>
      </c>
      <c r="G10" s="6" t="inlineStr">
        <is>
          <t>Subject: Invitation to Join the Academic Mentorship Program
Dear Students,
We are pleased to announce the launch of the university's Academic Mentorship Program for the upcoming semester. The initiative pairs first-year students with experienced upper-class mentors who can offer guidance on study strategies, time management, and adjusting to campus life.
If you are interested in becoming a mentor, please complete the short application form on the Student Success Center website by February 14. Training sessions for selected mentors will take place during the last week of February. Participants will receive volunteer-hour certificates and a letter of recognition from the Dean's Office.
This program has helped hundreds of students feel more connected and confident in their academic journey. We encourage you to get involved and make a positive difference in someone else's experience.
Warm regards,
Aisha Hinds</t>
        </is>
      </c>
    </row>
    <row r="11" ht="150" customHeight="1">
      <c r="A11" s="25" t="inlineStr">
        <is>
          <t>dl-10</t>
        </is>
      </c>
      <c r="B11" s="6" t="inlineStr">
        <is>
          <t>Read in Daily Life</t>
        </is>
      </c>
      <c r="C11" s="19" t="inlineStr">
        <is>
          <t>Temporary Relocation of HR</t>
        </is>
      </c>
      <c r="D11" s="5" t="inlineStr">
        <is>
          <t>email</t>
        </is>
      </c>
      <c r="E11" s="6" t="inlineStr">
        <is>
          <t>Read an email.</t>
        </is>
      </c>
      <c r="F11" s="5" t="inlineStr">
        <is>
          <t>123–125</t>
        </is>
      </c>
      <c r="G11" s="6" t="inlineStr">
        <is>
          <t>Subject: Temporary Relocation of HR Department
The Human Resources Department will be temporarily relocated to Suite 402 while renovations are completed on the main office. The relocation will take effect on June 12 and is expected to last three weeks.
During this period, employees should visit Suite 402 for payroll questions, benefits assistance, or onboarding meetings. All appointments already scheduled in the main office will continue as planned. Visitors may notice directional signs near the elevator and at the entrance to each floor.
The HR team will maintain normal business hours and can still be reached by phone or email for general inquiries. These improvements include updated workstations and a more private meeting area for confidential consultations. Thank you for your patience and cooperation as we create a more efficient and comfortable workspace for everyone.
— The Facilities Department</t>
        </is>
      </c>
    </row>
    <row r="12" ht="150" customHeight="1">
      <c r="A12" s="25" t="inlineStr">
        <is>
          <t>dl-11</t>
        </is>
      </c>
      <c r="B12" s="6" t="inlineStr">
        <is>
          <t>Read in Daily Life</t>
        </is>
      </c>
      <c r="C12" s="19" t="inlineStr">
        <is>
          <t>Water Service Interruption</t>
        </is>
      </c>
      <c r="D12" s="5" t="inlineStr">
        <is>
          <t>email</t>
        </is>
      </c>
      <c r="E12" s="6" t="inlineStr">
        <is>
          <t>Read an email.</t>
        </is>
      </c>
      <c r="F12" s="5" t="inlineStr">
        <is>
          <t>126–128</t>
        </is>
      </c>
      <c r="G12" s="6" t="inlineStr">
        <is>
          <t>Subject: Important Update – Water Service Interruption
Dear Residents,
Please be advised that routine maintenance on the neighborhood's main water line is scheduled for Tuesday, September 17, from 9:00 A.M. to 3:00 P.M. During this time, water service will be temporarily unavailable in all residential units.
Residents are encouraged to store an adequate supply of water for cooking, cleaning, and drinking before the interruption begins. The maintenance crew will make every effort to complete the work on schedule, but delays may occur if unexpected repairs are required.
Once service resumes, we recommend running the tap for several minutes to clear any air or discoloration from the pipes. We appreciate your understanding and cooperation as we complete this necessary maintenance to ensure the long-term reliability of the system.</t>
        </is>
      </c>
    </row>
    <row r="13" ht="150" customHeight="1">
      <c r="A13" s="25" t="inlineStr">
        <is>
          <t>dl-12</t>
        </is>
      </c>
      <c r="B13" s="6" t="inlineStr">
        <is>
          <t>Read in Daily Life</t>
        </is>
      </c>
      <c r="C13" s="19" t="inlineStr">
        <is>
          <t>Campus Network Maintenance</t>
        </is>
      </c>
      <c r="D13" s="5" t="inlineStr">
        <is>
          <t>notice</t>
        </is>
      </c>
      <c r="E13" s="6" t="inlineStr">
        <is>
          <t>Read an announcement.</t>
        </is>
      </c>
      <c r="F13" s="5" t="inlineStr">
        <is>
          <t>129–131</t>
        </is>
      </c>
      <c r="G13" s="6" t="inlineStr">
        <is>
          <t>On Friday, October 8, from 2:00 A.M. to 6:00 A.M., the IT Department will conduct scheduled maintenance on the campus network serving all university dormitories. During this time, both Wi-Fi access and wired connections will be temporarily unavailable.
Students who need to submit assignments or access online resources are advised to plan accordingly before the maintenance window. The computer lab in the Student Center will remain open overnight for anyone requiring internet access, and additional staff will be on duty to assist with technical questions.
This update is part of an ongoing effort to improve network speed, expand coverage in older dormitories, and enhance overall reliability. We appreciate your understanding and cooperation as the university continues investing in stronger and more secure digital services.</t>
        </is>
      </c>
    </row>
    <row r="14" ht="150" customHeight="1">
      <c r="A14" s="25" t="inlineStr">
        <is>
          <t>dl-13</t>
        </is>
      </c>
      <c r="B14" s="6" t="inlineStr">
        <is>
          <t>Read in Daily Life</t>
        </is>
      </c>
      <c r="C14" s="19" t="inlineStr">
        <is>
          <t>Oakridge Community Pool</t>
        </is>
      </c>
      <c r="D14" s="5" t="inlineStr">
        <is>
          <t>notice</t>
        </is>
      </c>
      <c r="E14" s="6" t="inlineStr">
        <is>
          <t>Read an announcement.</t>
        </is>
      </c>
      <c r="F14" s="5" t="inlineStr">
        <is>
          <t>132–134</t>
        </is>
      </c>
      <c r="G14" s="6" t="inlineStr">
        <is>
          <t>The Oakridge Community Pool will be closed from Monday, August 5, through Wednesday, August 7, for its annual cleaning and maintenance. During this time, facility staff will drain and sanitize the pool, inspect filtration systems, and perform minor repairs to ensure water quality and safety standards are met.
Swimming lessons, lap schedules, and open swim sessions will resume on Thursday, August 8, at 8:00 A.M. All memberships will automatically be extended by three days to compensate for the closure period.
The gym and tennis courts will remain open with normal operating hours, and front desk staff will be available to answer any membership or scheduling questions. We appreciate your patience and understanding as we complete this essential maintenance to keep the facility safe and enjoyable for all residents.
— Mimi Chen, Oakridge Recreation Department</t>
        </is>
      </c>
    </row>
    <row r="15" ht="150" customHeight="1">
      <c r="A15" s="25" t="inlineStr">
        <is>
          <t>ap-1</t>
        </is>
      </c>
      <c r="B15" s="6" t="inlineStr">
        <is>
          <t>Read an Academic Passage</t>
        </is>
      </c>
      <c r="C15" s="19" t="inlineStr">
        <is>
          <t>The Evolution of Money</t>
        </is>
      </c>
      <c r="D15" s="5" t="inlineStr">
        <is>
          <t>article</t>
        </is>
      </c>
      <c r="E15" s="6" t="inlineStr">
        <is>
          <t>Read an academic passage. Answer the questions that follow.</t>
        </is>
      </c>
      <c r="F15" s="5" t="inlineStr">
        <is>
          <t>135–139</t>
        </is>
      </c>
      <c r="G15" s="6" t="inlineStr">
        <is>
          <t>The Evolution of Money
For most of human history, trade depended on direct exchange. A farmer might swap grain for a pot or cloth for salt. This system, known as barter, worked only when both parties wanted exactly what the other offered. The difficulty of such “double coincidence of wants” encouraged the search for a more flexible medium of exchange. Early societies adopted shells, beads, and metals whose durability and scarcity made them reliable stores of value.
The invention of coinage around 600 BCE revolutionized commerce. Stamped metal pieces provided an official guarantee of weight and purity, allowing long-distance trade to flourish. Over time, coins gave way to paper notes backed by precious metals, and later to credit systems built on trust in banks rather than gold. Each step represented a gradual move from tangible goods toward abstract promises.
Today, the rise of digital currencies marks another turning point. Cryptographic systems such as Bitcoin eliminate the need for central authorities, replacing institutional trust with mathematical verification. Supporters see this as a democratization of finance, while critics warn of volatility and environmental costs. Whether electronic or metallic, money continues to evolve as a reflection of the societies that create it.</t>
        </is>
      </c>
    </row>
    <row r="16" ht="150" customHeight="1">
      <c r="A16" s="25" t="inlineStr">
        <is>
          <t>ap-2</t>
        </is>
      </c>
      <c r="B16" s="6" t="inlineStr">
        <is>
          <t>Read an Academic Passage</t>
        </is>
      </c>
      <c r="C16" s="19" t="inlineStr">
        <is>
          <t>The Hidden Life of Soil</t>
        </is>
      </c>
      <c r="D16" s="5" t="inlineStr">
        <is>
          <t>article</t>
        </is>
      </c>
      <c r="E16" s="6" t="inlineStr">
        <is>
          <t>Read an academic passage. Answer the questions that follow.</t>
        </is>
      </c>
      <c r="F16" s="5" t="inlineStr">
        <is>
          <t>140–144</t>
        </is>
      </c>
      <c r="G16" s="6" t="inlineStr">
        <is>
          <t>The Hidden Life of Soil
Soil appears inert, yet beneath its surface lies one of the planet's most dynamic ecosystems. A single handful contains billions of microorganisms — bacteria, fungi, and tiny invertebrates — interacting in intricate food webs. These organisms decompose organic matter, releasing nutrients that plants need to grow. In this sense, soil functions as both a living factory and a storage system for global carbon.
Human activity, however, is reshaping this hidden ecosystem in measurable ways. For example, heavy use of nitrogen fertilizers in Europe and China can favor a few bacterial species while killing others, upsetting the natural balance of soil communities. As these microorganisms decline, carbon that was once stored underground escapes into the atmosphere, adding to greenhouse gases. Because these changes occur below the surface, scientists describe soil degradation as a “quiet crisis” that receives far less attention than deforestation or melting ice.
Some regions are now demonstrating how soil recovery can work in practice. In India, farmers who rotate rice and lentil crops are restoring nitrogen levels naturally. The lentils host bacteria that fix nitrogen in the soil, reducing the need for chemical fertilizers and improving yields in the following rice season. These efforts show that reviving soil life is not merely an environmental gesture but a practical climate strategy.</t>
        </is>
      </c>
    </row>
    <row r="17" ht="150" customHeight="1">
      <c r="A17" s="25" t="inlineStr">
        <is>
          <t>ap-3</t>
        </is>
      </c>
      <c r="B17" s="6" t="inlineStr">
        <is>
          <t>Read an Academic Passage</t>
        </is>
      </c>
      <c r="C17" s="19" t="inlineStr">
        <is>
          <t>The Double Edge of Facial Recognition</t>
        </is>
      </c>
      <c r="D17" s="5" t="inlineStr">
        <is>
          <t>article</t>
        </is>
      </c>
      <c r="E17" s="6" t="inlineStr">
        <is>
          <t>Read an academic passage. Answer the questions that follow.</t>
        </is>
      </c>
      <c r="F17" s="5" t="inlineStr">
        <is>
          <t>145–149</t>
        </is>
      </c>
      <c r="G17" s="6" t="inlineStr">
        <is>
          <t>The Double Edge of Facial Recognition
Facial recognition technology has moved rapidly from science fiction to daily life. Airports now allow passengers to board by looking at a camera, and some stores test systems that identify returning customers. These programs promise speed and convenience, reducing the need for tickets, cards, or passwords. Governments also use them to enhance security, claiming that instant identification can help locate missing persons or prevent crime.
The city of London provides one of the most ambitious examples. Its “Live Facial Recognition” network scans crowded streets, comparing faces with police databases in real time. Supporters praise the system for identifying suspects in large events where manual monitoring would be impossible. However, independent reviews have shown that accuracy can vary depending on lighting, camera angle, and the diversity of the population being scanned. Civil rights groups have challenged the practice in court, arguing that it collects personal data without consent and risks normalizing mass surveillance.
The London case highlights the dilemma faced by many societies: efficiency versus privacy. The same algorithms that can protect the public can also track it. Whether facial recognition becomes a trusted guardian or a tool of control depends not only on its accuracy but on the values guiding its use.</t>
        </is>
      </c>
    </row>
    <row r="18" ht="150" customHeight="1">
      <c r="A18" s="25" t="inlineStr">
        <is>
          <t>ap-4</t>
        </is>
      </c>
      <c r="B18" s="6" t="inlineStr">
        <is>
          <t>Read an Academic Passage</t>
        </is>
      </c>
      <c r="C18" s="19" t="inlineStr">
        <is>
          <t>The Pull of Nostalgia</t>
        </is>
      </c>
      <c r="D18" s="5" t="inlineStr">
        <is>
          <t>article</t>
        </is>
      </c>
      <c r="E18" s="6" t="inlineStr">
        <is>
          <t>Read an academic passage. Answer the questions that follow.</t>
        </is>
      </c>
      <c r="F18" s="5" t="inlineStr">
        <is>
          <t>150–154</t>
        </is>
      </c>
      <c r="G18" s="6" t="inlineStr">
        <is>
          <t>The Pull of Nostalgia
The warm, sometimes bittersweet feeling that arises when recalling the past, known as nostalgia, was once viewed as a kind of illness, a longing that distracted people from the present. Today, psychologists see it differently. Rather than a symptom of homesickness, nostalgia is understood as a common and often beneficial emotion that helps maintain psychological balance during times of stress or uncertainty.
Experiments have shown that nostalgic memories activate brain regions linked to reward and comfort. In one study, volunteers who listened to popular songs from their teenage years felt more connected to others and reported higher self-esteem than those who heard unfamiliar music. A similar effect occurred when participants read old letters or viewed childhood photos: the recollections reduced feelings of loneliness and sharpened their sense of personal identity. These responses seem to work partly through storytelling—people reconstruct the past in ways that make it meaningful, reinforcing a sense of continuity between their younger and present selves.
Nostalgia, then, does more than recall what has been lost; it reaffirms what endures. By weaving past experiences into current life, individuals strengthen resilience and emotional stability.</t>
        </is>
      </c>
    </row>
    <row r="19" ht="150" customHeight="1">
      <c r="A19" s="25" t="inlineStr">
        <is>
          <t>ap-5</t>
        </is>
      </c>
      <c r="B19" s="6" t="inlineStr">
        <is>
          <t>Read an Academic Passage</t>
        </is>
      </c>
      <c r="C19" s="19" t="inlineStr">
        <is>
          <t>The Rise of the Telegraph</t>
        </is>
      </c>
      <c r="D19" s="5" t="inlineStr">
        <is>
          <t>article</t>
        </is>
      </c>
      <c r="E19" s="6" t="inlineStr">
        <is>
          <t>Read an academic passage. Answer the questions that follow.</t>
        </is>
      </c>
      <c r="F19" s="5" t="inlineStr">
        <is>
          <t>155–159</t>
        </is>
      </c>
      <c r="G19" s="6" t="inlineStr">
        <is>
          <t>The Rise of the Telegraph
Before the nineteenth century, communication could travel only as fast as a messenger on horseback or a ship at sea. News, orders, and personal letters often took weeks or months to reach their destinations. That changed dramatically with the invention of the telegraph. Using electric signals sent through wires, people could transmit messages across vast distances in seconds, transforming both business and daily life.
The first major network was developed in the 1840s by Samuel Morse in the United States. His system converted words into patterns of short and long electrical pulses, known as Morse code. Telegraph offices soon lined railroad stations, allowing traders to track prices and newspapers to report events almost as they happened. During the American Civil War, generals used the telegraph to coordinate troop movements, demonstrating how information could become as decisive as weaponry. Similar systems spread across Europe and later under the oceans, connecting continents through submarine cables.
The telegraph compressed the world. It reshaped politics, commerce, and journalism by introducing the idea of instant communication. Though later replaced by telephones and the internet, the telegraph laid the first electronic foundation for the global networks that now link nearly every part of human society.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2026-08-28T15:15:33Z</dcterms:created>
  <dcterms:modified xsi:type="dcterms:W3CDTF">2026-08-28T15:15:33Z</dcterms:modified>
</cp:coreProperties>
</file>